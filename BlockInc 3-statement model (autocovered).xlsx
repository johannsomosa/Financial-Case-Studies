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Johann\Desktop\Finance\"/>
    </mc:Choice>
  </mc:AlternateContent>
  <xr:revisionPtr revIDLastSave="0" documentId="13_ncr:1_{5AC330CE-2B20-495F-8EC8-6D8F845037D1}" xr6:coauthVersionLast="47" xr6:coauthVersionMax="47" xr10:uidLastSave="{00000000-0000-0000-0000-000000000000}"/>
  <bookViews>
    <workbookView xWindow="-120" yWindow="-120" windowWidth="38640" windowHeight="21240" tabRatio="499" firstSheet="1" activeTab="1" xr2:uid="{00000000-000D-0000-FFFF-FFFF00000000}"/>
  </bookViews>
  <sheets>
    <sheet name="Cover" sheetId="7" r:id="rId1"/>
    <sheet name="BLOCK INC. 3-statement mod" sheetId="1" r:id="rId2"/>
    <sheet name="DCF Analysis" sheetId="6" r:id="rId3"/>
    <sheet name="Segment Revenue" sheetId="10" r:id="rId4"/>
    <sheet name="Business Information" sheetId="5" r:id="rId5"/>
    <sheet name="Sheet1" sheetId="3"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Q11" i="1"/>
  <c r="P11" i="1"/>
  <c r="W13" i="1"/>
  <c r="C52" i="6"/>
  <c r="C55" i="6" s="1"/>
  <c r="C47" i="6"/>
  <c r="C59" i="1"/>
  <c r="D59" i="1"/>
  <c r="E59" i="1"/>
  <c r="F59" i="1"/>
  <c r="G59" i="1"/>
  <c r="H59" i="1"/>
  <c r="I59" i="1"/>
  <c r="E50" i="1"/>
  <c r="E51" i="1" s="1"/>
  <c r="H48" i="1"/>
  <c r="H51" i="1" s="1"/>
  <c r="H41" i="1"/>
  <c r="H47" i="1" s="1"/>
  <c r="H13" i="1" s="1"/>
  <c r="D48" i="1"/>
  <c r="D51" i="1" s="1"/>
  <c r="E41" i="1"/>
  <c r="E47" i="1" s="1"/>
  <c r="E13" i="1" s="1"/>
  <c r="D41" i="1"/>
  <c r="D47" i="1" s="1"/>
  <c r="D13" i="1" s="1"/>
  <c r="G48" i="1"/>
  <c r="G41" i="1"/>
  <c r="G47" i="1" s="1"/>
  <c r="G13" i="1" s="1"/>
  <c r="C41" i="1"/>
  <c r="C47" i="1" s="1"/>
  <c r="C48" i="1"/>
  <c r="C51" i="1" s="1"/>
  <c r="F48" i="1"/>
  <c r="F51" i="1" s="1"/>
  <c r="F41" i="1"/>
  <c r="F47" i="1" s="1"/>
  <c r="F13" i="1" s="1"/>
  <c r="G40" i="1"/>
  <c r="H40" i="1" s="1"/>
  <c r="D40" i="1"/>
  <c r="E40" i="1" s="1"/>
  <c r="J40" i="1"/>
  <c r="K40" i="1" s="1"/>
  <c r="M40" i="1"/>
  <c r="P39" i="1"/>
  <c r="Q39" i="1" s="1"/>
  <c r="R39" i="1" s="1"/>
  <c r="S39" i="1" s="1"/>
  <c r="T39" i="1" s="1"/>
  <c r="U39" i="1" s="1"/>
  <c r="V39" i="1" s="1"/>
  <c r="W39" i="1" s="1"/>
  <c r="G7" i="1"/>
  <c r="H7" i="1" s="1"/>
  <c r="D7" i="1"/>
  <c r="E7" i="1" s="1"/>
  <c r="F52" i="1" l="1"/>
  <c r="F55" i="1" s="1"/>
  <c r="F57" i="1" s="1"/>
  <c r="F60" i="1" s="1"/>
  <c r="F18" i="1"/>
  <c r="G16" i="1"/>
  <c r="G51" i="1"/>
  <c r="G52" i="1" s="1"/>
  <c r="H18" i="1"/>
  <c r="G18" i="1"/>
  <c r="D18" i="1"/>
  <c r="I11" i="1"/>
  <c r="H11" i="1"/>
  <c r="E12" i="1"/>
  <c r="D12" i="1"/>
  <c r="E18" i="1"/>
  <c r="F12" i="1"/>
  <c r="G17" i="1"/>
  <c r="F17" i="1"/>
  <c r="E17" i="1"/>
  <c r="H17" i="1"/>
  <c r="D17" i="1"/>
  <c r="H16" i="1"/>
  <c r="F16" i="1"/>
  <c r="E16" i="1"/>
  <c r="D16" i="1"/>
  <c r="H12" i="1"/>
  <c r="G12" i="1"/>
  <c r="F65" i="6"/>
  <c r="C57" i="6"/>
  <c r="D11" i="1"/>
  <c r="G11" i="1"/>
  <c r="E11" i="1"/>
  <c r="F11" i="1"/>
  <c r="C52" i="1"/>
  <c r="H52" i="1"/>
  <c r="E52" i="1"/>
  <c r="D52" i="1"/>
  <c r="C21" i="6"/>
  <c r="D10" i="6"/>
  <c r="E10" i="6" s="1"/>
  <c r="F10" i="6" s="1"/>
  <c r="G10" i="6" s="1"/>
  <c r="H10" i="6" s="1"/>
  <c r="I10" i="6" s="1"/>
  <c r="J10" i="6" s="1"/>
  <c r="K10" i="6" s="1"/>
  <c r="L10" i="6" s="1"/>
  <c r="M10" i="6" s="1"/>
  <c r="O10" i="6" s="1"/>
  <c r="P10" i="6" s="1"/>
  <c r="Q10" i="6" s="1"/>
  <c r="R10" i="6" s="1"/>
  <c r="S10" i="6" s="1"/>
  <c r="T10" i="6" s="1"/>
  <c r="U10" i="6" s="1"/>
  <c r="V10" i="6" s="1"/>
  <c r="W10" i="6" s="1"/>
  <c r="X10" i="6" s="1"/>
  <c r="Y10" i="6" s="1"/>
  <c r="Z10" i="6" s="1"/>
  <c r="AA10" i="6" s="1"/>
  <c r="AB10" i="6" s="1"/>
  <c r="AC10" i="6" s="1"/>
  <c r="AD10" i="6" s="1"/>
  <c r="AE10" i="6" s="1"/>
  <c r="AF10" i="6" s="1"/>
  <c r="AG10" i="6" s="1"/>
  <c r="AH10" i="6" s="1"/>
  <c r="D11" i="6"/>
  <c r="E11" i="6" s="1"/>
  <c r="F11" i="6" s="1"/>
  <c r="G11" i="6" s="1"/>
  <c r="H11" i="6" s="1"/>
  <c r="I11" i="6" s="1"/>
  <c r="J11" i="6" s="1"/>
  <c r="K11" i="6" s="1"/>
  <c r="L11" i="6" s="1"/>
  <c r="M11" i="6" s="1"/>
  <c r="O11" i="6" s="1"/>
  <c r="P11" i="6" s="1"/>
  <c r="Q11" i="6" s="1"/>
  <c r="R11" i="6" s="1"/>
  <c r="S11" i="6" s="1"/>
  <c r="T11" i="6" s="1"/>
  <c r="U11" i="6" s="1"/>
  <c r="V11" i="6" s="1"/>
  <c r="W11" i="6" s="1"/>
  <c r="X11" i="6" s="1"/>
  <c r="Y11" i="6" s="1"/>
  <c r="Z11" i="6" s="1"/>
  <c r="AA11" i="6" s="1"/>
  <c r="AB11" i="6" s="1"/>
  <c r="AC11" i="6" s="1"/>
  <c r="AD11" i="6" s="1"/>
  <c r="AE11" i="6" s="1"/>
  <c r="AF11" i="6" s="1"/>
  <c r="AG11" i="6" s="1"/>
  <c r="AH11" i="6" s="1"/>
  <c r="D4" i="6"/>
  <c r="E4" i="6" s="1"/>
  <c r="C17" i="10"/>
  <c r="D10" i="7"/>
  <c r="O142" i="1"/>
  <c r="P142" i="1"/>
  <c r="Q142" i="1"/>
  <c r="Q155" i="1"/>
  <c r="D7" i="7"/>
  <c r="D8" i="7" s="1"/>
  <c r="E35" i="10"/>
  <c r="F14" i="10"/>
  <c r="F13" i="10"/>
  <c r="F12" i="10"/>
  <c r="F10" i="10"/>
  <c r="F8" i="10"/>
  <c r="F7" i="10"/>
  <c r="F6" i="10"/>
  <c r="F5" i="10"/>
  <c r="E9" i="10"/>
  <c r="E11" i="10" s="1"/>
  <c r="E17" i="10" s="1"/>
  <c r="D9" i="10"/>
  <c r="D11" i="10" s="1"/>
  <c r="D17" i="10" s="1"/>
  <c r="C9" i="10"/>
  <c r="C11" i="10" s="1"/>
  <c r="F50" i="10"/>
  <c r="F49" i="10"/>
  <c r="F46" i="10"/>
  <c r="F44" i="10"/>
  <c r="F43" i="10"/>
  <c r="F42" i="10"/>
  <c r="F41" i="10"/>
  <c r="E45" i="10"/>
  <c r="E47" i="10" s="1"/>
  <c r="E54" i="10" s="1"/>
  <c r="D45" i="10"/>
  <c r="D47" i="10" s="1"/>
  <c r="D54" i="10" s="1"/>
  <c r="C45" i="10"/>
  <c r="C47" i="10" s="1"/>
  <c r="C54" i="10" s="1"/>
  <c r="F32" i="10"/>
  <c r="F31" i="10"/>
  <c r="F29" i="10"/>
  <c r="F27" i="10"/>
  <c r="F26" i="10"/>
  <c r="F25" i="10"/>
  <c r="F24" i="10"/>
  <c r="E28" i="10"/>
  <c r="E30" i="10" s="1"/>
  <c r="D28" i="10"/>
  <c r="D30" i="10" s="1"/>
  <c r="D35" i="10" s="1"/>
  <c r="C28" i="10"/>
  <c r="C30" i="10" s="1"/>
  <c r="C35" i="10" s="1"/>
  <c r="C35" i="6"/>
  <c r="C34" i="6"/>
  <c r="C33" i="6"/>
  <c r="R53" i="1"/>
  <c r="Q18" i="1"/>
  <c r="P18" i="1"/>
  <c r="O18" i="1"/>
  <c r="J18" i="1"/>
  <c r="L18" i="1"/>
  <c r="M18" i="1"/>
  <c r="I18" i="1"/>
  <c r="P12" i="1"/>
  <c r="Q12" i="1"/>
  <c r="O12" i="1"/>
  <c r="J12" i="1"/>
  <c r="K12" i="1"/>
  <c r="L12" i="1"/>
  <c r="M12" i="1"/>
  <c r="I12" i="1"/>
  <c r="R59" i="1"/>
  <c r="Q59" i="1"/>
  <c r="P59" i="1"/>
  <c r="O59" i="1"/>
  <c r="K59" i="1"/>
  <c r="L59" i="1"/>
  <c r="M59" i="1"/>
  <c r="J59" i="1"/>
  <c r="R54" i="1"/>
  <c r="S54" i="1" s="1"/>
  <c r="T54" i="1" s="1"/>
  <c r="U54" i="1" s="1"/>
  <c r="V54" i="1" s="1"/>
  <c r="W54" i="1" s="1"/>
  <c r="F14" i="1" l="1"/>
  <c r="S53" i="1"/>
  <c r="S59" i="1"/>
  <c r="F19" i="1"/>
  <c r="F15" i="1"/>
  <c r="G55" i="1"/>
  <c r="G14" i="1"/>
  <c r="G65" i="6"/>
  <c r="E14" i="1"/>
  <c r="H14" i="1"/>
  <c r="D14" i="1"/>
  <c r="H55" i="1"/>
  <c r="H65" i="6"/>
  <c r="C55" i="1"/>
  <c r="C57" i="1" s="1"/>
  <c r="C65" i="6"/>
  <c r="D55" i="1"/>
  <c r="D65" i="6"/>
  <c r="E55" i="1"/>
  <c r="E65" i="6"/>
  <c r="D11" i="7"/>
  <c r="F11" i="10"/>
  <c r="F47" i="10"/>
  <c r="F9" i="10"/>
  <c r="F45" i="10"/>
  <c r="F28" i="10"/>
  <c r="F30" i="10"/>
  <c r="F35" i="10" s="1"/>
  <c r="T53" i="1" l="1"/>
  <c r="U53" i="1"/>
  <c r="T59" i="1"/>
  <c r="G57" i="1"/>
  <c r="G19" i="1"/>
  <c r="D57" i="1"/>
  <c r="D19" i="1"/>
  <c r="H57" i="1"/>
  <c r="H19" i="1"/>
  <c r="E57" i="1"/>
  <c r="E19" i="1"/>
  <c r="C60" i="1"/>
  <c r="F54" i="10"/>
  <c r="F17" i="10"/>
  <c r="M11" i="1"/>
  <c r="L11" i="1"/>
  <c r="R11" i="1" s="1"/>
  <c r="S11" i="1" s="1"/>
  <c r="K11" i="1"/>
  <c r="J11" i="1"/>
  <c r="M17" i="1"/>
  <c r="L17" i="1"/>
  <c r="J17" i="1"/>
  <c r="M7" i="1"/>
  <c r="J7" i="1"/>
  <c r="K7" i="1" s="1"/>
  <c r="P6" i="1"/>
  <c r="Q6" i="1" s="1"/>
  <c r="R6" i="1" s="1"/>
  <c r="S6" i="1" s="1"/>
  <c r="T6" i="1" s="1"/>
  <c r="U6" i="1" s="1"/>
  <c r="V6" i="1" s="1"/>
  <c r="W6" i="1" s="1"/>
  <c r="K50" i="1"/>
  <c r="K18" i="1" s="1"/>
  <c r="K49" i="1"/>
  <c r="K17" i="1" s="1"/>
  <c r="K48" i="1"/>
  <c r="K16" i="1" s="1"/>
  <c r="K47" i="1"/>
  <c r="K13" i="1" s="1"/>
  <c r="J48" i="1"/>
  <c r="J51" i="1" s="1"/>
  <c r="J47" i="1"/>
  <c r="J13" i="1" s="1"/>
  <c r="M48" i="1"/>
  <c r="M51" i="1" s="1"/>
  <c r="I49" i="1"/>
  <c r="I17" i="1" s="1"/>
  <c r="I48" i="1"/>
  <c r="I47" i="1"/>
  <c r="I13" i="1" s="1"/>
  <c r="M47" i="1"/>
  <c r="M13" i="1" s="1"/>
  <c r="L48" i="1"/>
  <c r="L51" i="1" s="1"/>
  <c r="L47" i="1"/>
  <c r="L13" i="1" s="1"/>
  <c r="O47" i="1"/>
  <c r="O13" i="1" s="1"/>
  <c r="P47" i="1"/>
  <c r="P13" i="1" s="1"/>
  <c r="Q47" i="1"/>
  <c r="Q13" i="1" s="1"/>
  <c r="P120" i="1"/>
  <c r="Q120" i="1" s="1"/>
  <c r="P67" i="1"/>
  <c r="O17" i="1"/>
  <c r="Q30" i="1"/>
  <c r="P30" i="1"/>
  <c r="P71" i="1"/>
  <c r="Q186" i="1"/>
  <c r="P186" i="1"/>
  <c r="O69" i="1"/>
  <c r="O183" i="1"/>
  <c r="O186" i="1" s="1"/>
  <c r="T11" i="1" l="1"/>
  <c r="U11" i="1" s="1"/>
  <c r="V11" i="1"/>
  <c r="W11" i="1" s="1"/>
  <c r="U59" i="1"/>
  <c r="V53" i="1"/>
  <c r="W53" i="1" s="1"/>
  <c r="G60" i="1"/>
  <c r="G15" i="1"/>
  <c r="Q67" i="1"/>
  <c r="H60" i="1"/>
  <c r="H15" i="1"/>
  <c r="E60" i="1"/>
  <c r="E15" i="1"/>
  <c r="D60" i="1"/>
  <c r="D15" i="1"/>
  <c r="L16" i="1"/>
  <c r="M16" i="1"/>
  <c r="I51" i="1"/>
  <c r="I52" i="1" s="1"/>
  <c r="I16" i="1"/>
  <c r="J16" i="1"/>
  <c r="K51" i="1"/>
  <c r="K52" i="1" s="1"/>
  <c r="J52" i="1"/>
  <c r="M52" i="1"/>
  <c r="L52" i="1"/>
  <c r="Q17" i="1"/>
  <c r="P28" i="1"/>
  <c r="Q28" i="1"/>
  <c r="P170" i="1"/>
  <c r="Q170" i="1"/>
  <c r="O170" i="1"/>
  <c r="R107" i="1"/>
  <c r="S107" i="1"/>
  <c r="P155" i="1"/>
  <c r="O155" i="1"/>
  <c r="P105" i="1"/>
  <c r="Q105" i="1"/>
  <c r="Q90" i="1"/>
  <c r="P90" i="1"/>
  <c r="P26" i="1" s="1"/>
  <c r="P82" i="1"/>
  <c r="Q82" i="1"/>
  <c r="Q73" i="1"/>
  <c r="Q71" i="1"/>
  <c r="P73" i="1"/>
  <c r="R67" i="1" l="1"/>
  <c r="S67" i="1" s="1"/>
  <c r="T67" i="1" s="1"/>
  <c r="U67" i="1" s="1"/>
  <c r="V59" i="1"/>
  <c r="W59" i="1" s="1"/>
  <c r="I65" i="6"/>
  <c r="J65" i="6"/>
  <c r="L55" i="1"/>
  <c r="L65" i="6"/>
  <c r="M55" i="1"/>
  <c r="M65" i="6"/>
  <c r="N65" i="6" s="1"/>
  <c r="O65" i="6" s="1"/>
  <c r="P65" i="6" s="1"/>
  <c r="Q65" i="6" s="1"/>
  <c r="R65" i="6" s="1"/>
  <c r="S65" i="6" s="1"/>
  <c r="T65" i="6" s="1"/>
  <c r="U65" i="6" s="1"/>
  <c r="V65" i="6" s="1"/>
  <c r="W65" i="6" s="1"/>
  <c r="X65" i="6" s="1"/>
  <c r="Y65" i="6" s="1"/>
  <c r="Z65" i="6" s="1"/>
  <c r="AA65" i="6" s="1"/>
  <c r="AB65" i="6" s="1"/>
  <c r="AC65" i="6" s="1"/>
  <c r="AD65" i="6" s="1"/>
  <c r="AE65" i="6" s="1"/>
  <c r="AF65" i="6" s="1"/>
  <c r="AG65" i="6" s="1"/>
  <c r="AH65" i="6" s="1"/>
  <c r="AI65" i="6" s="1"/>
  <c r="AJ65" i="6" s="1"/>
  <c r="AK65" i="6" s="1"/>
  <c r="AL65" i="6" s="1"/>
  <c r="AM65" i="6" s="1"/>
  <c r="AN65" i="6" s="1"/>
  <c r="AO65" i="6" s="1"/>
  <c r="AP65" i="6" s="1"/>
  <c r="AQ65" i="6" s="1"/>
  <c r="AR65" i="6" s="1"/>
  <c r="AS65" i="6" s="1"/>
  <c r="AT65" i="6" s="1"/>
  <c r="AU65" i="6" s="1"/>
  <c r="AV65" i="6" s="1"/>
  <c r="AW65" i="6" s="1"/>
  <c r="AX65" i="6" s="1"/>
  <c r="AY65" i="6" s="1"/>
  <c r="AZ65" i="6" s="1"/>
  <c r="BA65" i="6" s="1"/>
  <c r="BB65" i="6" s="1"/>
  <c r="BC65" i="6" s="1"/>
  <c r="BD65" i="6" s="1"/>
  <c r="BE65" i="6" s="1"/>
  <c r="BF65" i="6" s="1"/>
  <c r="BG65" i="6" s="1"/>
  <c r="BH65" i="6" s="1"/>
  <c r="BI65" i="6" s="1"/>
  <c r="BJ65" i="6" s="1"/>
  <c r="BK65" i="6" s="1"/>
  <c r="BL65" i="6" s="1"/>
  <c r="BM65" i="6" s="1"/>
  <c r="BN65" i="6" s="1"/>
  <c r="BO65" i="6" s="1"/>
  <c r="BP65" i="6" s="1"/>
  <c r="BQ65" i="6" s="1"/>
  <c r="BR65" i="6" s="1"/>
  <c r="BS65" i="6" s="1"/>
  <c r="BT65" i="6" s="1"/>
  <c r="BU65" i="6" s="1"/>
  <c r="BV65" i="6" s="1"/>
  <c r="BW65" i="6" s="1"/>
  <c r="BX65" i="6" s="1"/>
  <c r="BY65" i="6" s="1"/>
  <c r="BZ65" i="6" s="1"/>
  <c r="CA65" i="6" s="1"/>
  <c r="CB65" i="6" s="1"/>
  <c r="CC65" i="6" s="1"/>
  <c r="CD65" i="6" s="1"/>
  <c r="CE65" i="6" s="1"/>
  <c r="CF65" i="6" s="1"/>
  <c r="CG65" i="6" s="1"/>
  <c r="CH65" i="6" s="1"/>
  <c r="CI65" i="6" s="1"/>
  <c r="CJ65" i="6" s="1"/>
  <c r="CK65" i="6" s="1"/>
  <c r="CL65" i="6" s="1"/>
  <c r="CM65" i="6" s="1"/>
  <c r="CN65" i="6" s="1"/>
  <c r="CO65" i="6" s="1"/>
  <c r="CP65" i="6" s="1"/>
  <c r="CQ65" i="6" s="1"/>
  <c r="CR65" i="6" s="1"/>
  <c r="CS65" i="6" s="1"/>
  <c r="CT65" i="6" s="1"/>
  <c r="CU65" i="6" s="1"/>
  <c r="CV65" i="6" s="1"/>
  <c r="CW65" i="6" s="1"/>
  <c r="CX65" i="6" s="1"/>
  <c r="CY65" i="6" s="1"/>
  <c r="K55" i="1"/>
  <c r="K65" i="6"/>
  <c r="C19" i="6"/>
  <c r="C20" i="6"/>
  <c r="J55" i="1"/>
  <c r="J14" i="1"/>
  <c r="L14" i="1"/>
  <c r="M14" i="1"/>
  <c r="K14" i="1"/>
  <c r="I55" i="1"/>
  <c r="I14" i="1"/>
  <c r="Q26" i="1"/>
  <c r="Q98" i="1"/>
  <c r="Q111" i="1"/>
  <c r="P98" i="1"/>
  <c r="P111" i="1"/>
  <c r="Q112" i="1"/>
  <c r="P112" i="1"/>
  <c r="P74" i="1"/>
  <c r="Q74" i="1"/>
  <c r="Q25" i="1" l="1"/>
  <c r="P25" i="1"/>
  <c r="C63" i="6"/>
  <c r="C66" i="6"/>
  <c r="C68" i="6" s="1"/>
  <c r="C24" i="6"/>
  <c r="K57" i="1"/>
  <c r="K19" i="1"/>
  <c r="I57" i="1"/>
  <c r="I19" i="1"/>
  <c r="M57" i="1"/>
  <c r="M60" i="1" s="1"/>
  <c r="M19" i="1"/>
  <c r="L57" i="1"/>
  <c r="L19" i="1"/>
  <c r="J57" i="1"/>
  <c r="J19" i="1"/>
  <c r="P115" i="1"/>
  <c r="Q115" i="1"/>
  <c r="Q83" i="1"/>
  <c r="Q110" i="1"/>
  <c r="P83" i="1"/>
  <c r="P110" i="1"/>
  <c r="Q48" i="1"/>
  <c r="P49" i="1"/>
  <c r="P17" i="1" s="1"/>
  <c r="P48" i="1"/>
  <c r="O48" i="1"/>
  <c r="O51" i="1" s="1"/>
  <c r="K60" i="1" l="1"/>
  <c r="J60" i="1"/>
  <c r="I15" i="1"/>
  <c r="I60" i="1"/>
  <c r="C28" i="6"/>
  <c r="R19" i="1"/>
  <c r="K15" i="1"/>
  <c r="T19" i="1"/>
  <c r="V19" i="1"/>
  <c r="S19" i="1"/>
  <c r="W19" i="1"/>
  <c r="U19" i="1"/>
  <c r="Q51" i="1"/>
  <c r="Q52" i="1" s="1"/>
  <c r="L15" i="1"/>
  <c r="L60" i="1"/>
  <c r="J15" i="1"/>
  <c r="M15" i="1"/>
  <c r="P51" i="1"/>
  <c r="P52" i="1" s="1"/>
  <c r="Q29" i="1"/>
  <c r="P29" i="1"/>
  <c r="P16" i="1"/>
  <c r="Q16" i="1"/>
  <c r="O52" i="1"/>
  <c r="O16" i="1"/>
  <c r="Q27" i="1"/>
  <c r="Q114" i="1"/>
  <c r="P114" i="1"/>
  <c r="P27" i="1"/>
  <c r="P107" i="1"/>
  <c r="Q107" i="1"/>
  <c r="P55" i="1" l="1"/>
  <c r="P19" i="1" s="1"/>
  <c r="Q55" i="1"/>
  <c r="Q19" i="1" s="1"/>
  <c r="O14" i="1"/>
  <c r="O55" i="1"/>
  <c r="O19" i="1" s="1"/>
  <c r="P32" i="1"/>
  <c r="P14" i="1"/>
  <c r="Q32" i="1"/>
  <c r="Q14" i="1"/>
  <c r="P57" i="1" l="1"/>
  <c r="P60" i="1" s="1"/>
  <c r="D5" i="6"/>
  <c r="Q57" i="1"/>
  <c r="O57" i="1"/>
  <c r="P15" i="1"/>
  <c r="P31" i="1"/>
  <c r="O173" i="1"/>
  <c r="O176" i="1" s="1"/>
  <c r="P175" i="1" s="1"/>
  <c r="Q173" i="1"/>
  <c r="P173" i="1"/>
  <c r="P121" i="1" l="1"/>
  <c r="E5" i="6"/>
  <c r="E8" i="6" s="1"/>
  <c r="O15" i="1"/>
  <c r="C5" i="6"/>
  <c r="D8" i="6" s="1"/>
  <c r="Q15" i="1"/>
  <c r="Q31" i="1"/>
  <c r="Q121" i="1"/>
  <c r="Q60" i="1"/>
  <c r="O60" i="1"/>
  <c r="O121" i="1"/>
  <c r="P176" i="1"/>
  <c r="Q175" i="1" s="1"/>
  <c r="Q176" i="1" s="1"/>
  <c r="R41" i="1" l="1"/>
  <c r="R46" i="1" l="1"/>
  <c r="R12" i="1" s="1"/>
  <c r="R48" i="1"/>
  <c r="R49" i="1"/>
  <c r="R50" i="1"/>
  <c r="S50" i="1" s="1"/>
  <c r="T50" i="1" s="1"/>
  <c r="U50" i="1" s="1"/>
  <c r="V50" i="1" s="1"/>
  <c r="W50" i="1" s="1"/>
  <c r="R47" i="1"/>
  <c r="R13" i="1" s="1"/>
  <c r="S41" i="1"/>
  <c r="S46" i="1" l="1"/>
  <c r="S12" i="1" s="1"/>
  <c r="T41" i="1"/>
  <c r="S47" i="1" l="1"/>
  <c r="S13" i="1" s="1"/>
  <c r="T46" i="1"/>
  <c r="T12" i="1" s="1"/>
  <c r="U41" i="1"/>
  <c r="T48" i="1"/>
  <c r="T47" i="1" l="1"/>
  <c r="T13" i="1" s="1"/>
  <c r="U46" i="1"/>
  <c r="U12" i="1" s="1"/>
  <c r="U49" i="1"/>
  <c r="U48" i="1"/>
  <c r="V41" i="1"/>
  <c r="W41" i="1" s="1"/>
  <c r="U47" i="1"/>
  <c r="U13" i="1" s="1"/>
  <c r="W49" i="1" l="1"/>
  <c r="W46" i="1"/>
  <c r="W47" i="1"/>
  <c r="W48" i="1"/>
  <c r="U51" i="1"/>
  <c r="U52" i="1" s="1"/>
  <c r="V46" i="1"/>
  <c r="V12" i="1" s="1"/>
  <c r="V49" i="1"/>
  <c r="V48" i="1"/>
  <c r="V47" i="1"/>
  <c r="V13" i="1" s="1"/>
  <c r="W51" i="1" l="1"/>
  <c r="W52" i="1"/>
  <c r="W55" i="1" s="1"/>
  <c r="U55" i="1"/>
  <c r="U56" i="1" s="1"/>
  <c r="U57" i="1" s="1"/>
  <c r="W12" i="1"/>
  <c r="V51" i="1"/>
  <c r="V52" i="1" s="1"/>
  <c r="V55" i="1" s="1"/>
  <c r="V56" i="1" s="1"/>
  <c r="V57" i="1" s="1"/>
  <c r="V60" i="1" s="1"/>
  <c r="W56" i="1" l="1"/>
  <c r="W57" i="1" s="1"/>
  <c r="W60" i="1" s="1"/>
  <c r="U60" i="1"/>
  <c r="W15" i="1" l="1"/>
  <c r="V15" i="1" l="1"/>
  <c r="U15" i="1" l="1"/>
  <c r="R51" i="1" l="1"/>
  <c r="R52" i="1" s="1"/>
  <c r="S48" i="1"/>
  <c r="R55" i="1" l="1"/>
  <c r="R14" i="1"/>
  <c r="R56" i="1" l="1"/>
  <c r="R57" i="1" s="1"/>
  <c r="R60" i="1" l="1"/>
  <c r="R15" i="1"/>
  <c r="S49" i="1"/>
  <c r="S51" i="1" s="1"/>
  <c r="S52" i="1" s="1"/>
  <c r="T49" i="1"/>
  <c r="T51" i="1" s="1"/>
  <c r="T52" i="1" s="1"/>
  <c r="T55" i="1" l="1"/>
  <c r="T56" i="1" s="1"/>
  <c r="T57" i="1" s="1"/>
  <c r="S55" i="1"/>
  <c r="S56" i="1" s="1"/>
  <c r="S57" i="1" s="1"/>
  <c r="C12" i="6" l="1" a="1"/>
  <c r="T12" i="6" s="1"/>
  <c r="U12" i="6"/>
  <c r="T13" i="6"/>
  <c r="S13" i="6"/>
  <c r="T15" i="1"/>
  <c r="T60" i="1"/>
  <c r="S15" i="1"/>
  <c r="S60" i="1"/>
  <c r="L13" i="6" l="1"/>
  <c r="O13" i="6"/>
  <c r="K13" i="6"/>
  <c r="Q13" i="6"/>
  <c r="H13" i="6"/>
  <c r="J13" i="6"/>
  <c r="C12" i="6"/>
  <c r="C13" i="6" s="1"/>
  <c r="D13" i="6"/>
  <c r="G13" i="6"/>
  <c r="F13" i="6"/>
  <c r="E13" i="6"/>
  <c r="M13" i="6"/>
  <c r="P13" i="6"/>
  <c r="R13" i="6"/>
  <c r="I13" i="6"/>
  <c r="V12" i="6"/>
  <c r="U13" i="6"/>
  <c r="W12" i="6" l="1"/>
  <c r="V13" i="6"/>
  <c r="X12" i="6" l="1"/>
  <c r="W13" i="6"/>
  <c r="Y12" i="6" l="1"/>
  <c r="X13" i="6"/>
  <c r="Z12" i="6" l="1"/>
  <c r="Y13" i="6"/>
  <c r="AA12" i="6" l="1"/>
  <c r="Z13" i="6"/>
  <c r="AB12" i="6" l="1"/>
  <c r="AA13" i="6"/>
  <c r="AC12" i="6" l="1"/>
  <c r="AB13" i="6"/>
  <c r="AD12" i="6" l="1"/>
  <c r="AC13" i="6"/>
  <c r="AE12" i="6" l="1"/>
  <c r="AD13" i="6"/>
  <c r="AF12" i="6" l="1"/>
  <c r="AE13" i="6"/>
  <c r="AG12" i="6" l="1"/>
  <c r="AF13" i="6"/>
  <c r="AH12" i="6" l="1"/>
  <c r="AG13" i="6"/>
  <c r="C30" i="6" l="1"/>
  <c r="AH13" i="6"/>
  <c r="C29" i="6" s="1"/>
  <c r="C31" i="6" s="1"/>
  <c r="C41" i="6" l="1"/>
  <c r="C36" i="6"/>
  <c r="C39"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Johann</author>
  </authors>
  <commentList>
    <comment ref="R14" authorId="0" shapeId="0" xr:uid="{743C65FE-5A0C-426F-835E-5E10A921A917}">
      <text>
        <r>
          <rPr>
            <b/>
            <sz val="9"/>
            <color rgb="FF000000"/>
            <rFont val="Tahoma"/>
            <family val="2"/>
          </rPr>
          <t>Johann:</t>
        </r>
        <r>
          <rPr>
            <sz val="9"/>
            <color rgb="FF000000"/>
            <rFont val="Tahoma"/>
            <family val="2"/>
          </rPr>
          <t xml:space="preserve">
</t>
        </r>
        <r>
          <rPr>
            <sz val="9"/>
            <color rgb="FF000000"/>
            <rFont val="Tahoma"/>
            <family val="2"/>
          </rPr>
          <t xml:space="preserve">We expect Adjusted Operating Income of $2.03 billion, or 20% margin, expanding margins 2 percentage points year over year despite the meaningful go to market investments
</t>
        </r>
        <r>
          <rPr>
            <sz val="9"/>
            <color rgb="FF000000"/>
            <rFont val="Tahoma"/>
            <family val="2"/>
          </rPr>
          <t>we’re making to grow our business.</t>
        </r>
      </text>
    </comment>
    <comment ref="R47" authorId="0" shapeId="0" xr:uid="{157A3B90-240E-439B-A9A5-B20E76BDF5C9}">
      <text>
        <r>
          <rPr>
            <b/>
            <sz val="9"/>
            <color rgb="FF000000"/>
            <rFont val="Tahoma"/>
            <family val="2"/>
          </rPr>
          <t>Johann:</t>
        </r>
        <r>
          <rPr>
            <sz val="9"/>
            <color rgb="FF000000"/>
            <rFont val="Tahoma"/>
            <family val="2"/>
          </rPr>
          <t xml:space="preserve">
</t>
        </r>
        <r>
          <rPr>
            <sz val="9"/>
            <color rgb="FF000000"/>
            <rFont val="Tahoma"/>
            <family val="2"/>
          </rPr>
          <t xml:space="preserve">According to Q32025 Earnings call, "We expect full year gross profit of $10.17 billion, or over 14% year over
</t>
        </r>
        <r>
          <rPr>
            <sz val="9"/>
            <color rgb="FF000000"/>
            <rFont val="Tahoma"/>
            <family val="2"/>
          </rPr>
          <t>year growth."</t>
        </r>
      </text>
    </comment>
    <comment ref="R52" authorId="0" shapeId="0" xr:uid="{9B7E16E1-E569-40BF-B5F4-10BDD6BB6C0B}">
      <text>
        <r>
          <rPr>
            <b/>
            <sz val="9"/>
            <color indexed="81"/>
            <rFont val="Tahoma"/>
            <family val="2"/>
          </rPr>
          <t>Johann:</t>
        </r>
        <r>
          <rPr>
            <sz val="9"/>
            <color indexed="81"/>
            <rFont val="Tahoma"/>
            <family val="2"/>
          </rPr>
          <t xml:space="preserve">
We expect Adjusted Operating Income of $2.03 billion, or 20% margin, expanding margins 2 percentage points year over year despite the meaningful go to market investments
we’re making to grow our business.</t>
        </r>
      </text>
    </comment>
    <comment ref="B86" authorId="0" shapeId="0" xr:uid="{A606533A-5FD6-46EE-89C2-E49768694881}">
      <text>
        <r>
          <rPr>
            <b/>
            <sz val="9"/>
            <color rgb="FF000000"/>
            <rFont val="Tahoma"/>
            <family val="2"/>
          </rPr>
          <t>Johann:</t>
        </r>
        <r>
          <rPr>
            <sz val="9"/>
            <color rgb="FF000000"/>
            <rFont val="Tahoma"/>
            <family val="2"/>
          </rPr>
          <t xml:space="preserve">
</t>
        </r>
        <r>
          <rPr>
            <sz val="9"/>
            <color rgb="FF000000"/>
            <rFont val="Tahoma"/>
            <family val="2"/>
          </rPr>
          <t xml:space="preserve"> Customers payable represents the transaction amounts, less revenue earned by the Company, owed to sellers or Cash App customers. The payable amount consists of amounts owed to customers due to timing differences as the Company typically settles within one business day, amounts held by the Company in accordance with its risk management policies, and amounts held for customers who have not yet linked a bank account.</t>
        </r>
      </text>
    </comment>
    <comment ref="B87" authorId="0" shapeId="0" xr:uid="{0C44AA03-9FC4-4459-93F1-2069AE19EB36}">
      <text>
        <r>
          <rPr>
            <b/>
            <sz val="9"/>
            <color rgb="FF000000"/>
            <rFont val="Tahoma"/>
            <family val="2"/>
          </rPr>
          <t>Johann:</t>
        </r>
        <r>
          <rPr>
            <sz val="9"/>
            <color rgb="FF000000"/>
            <rFont val="Tahoma"/>
            <family val="2"/>
          </rPr>
          <t xml:space="preserve">
</t>
        </r>
        <r>
          <rPr>
            <sz val="9"/>
            <color rgb="FF000000"/>
            <rFont val="Tahoma"/>
            <family val="2"/>
          </rPr>
          <t xml:space="preserve"> Following the acquisition of Afterpay, the Company assumed Afterpay's existing warehouse funding facilities. 
</t>
        </r>
        <r>
          <rPr>
            <sz val="9"/>
            <color rgb="FF000000"/>
            <rFont val="Tahoma"/>
            <family val="2"/>
          </rPr>
          <t xml:space="preserve">
</t>
        </r>
        <r>
          <rPr>
            <sz val="9"/>
            <color rgb="FF000000"/>
            <rFont val="Tahoma"/>
            <family val="2"/>
          </rPr>
          <t xml:space="preserve">Warehouse Facilities have been arranged utilizing wholly-owned and consolidated entities (collectively, the Warehouse Special Purpose Entities ("Warehouse SPEs")) formed for the sole purpose of financing the origination of consumer receivables to partly fund the Company's BNPL platform.
</t>
        </r>
        <r>
          <rPr>
            <sz val="9"/>
            <color rgb="FF000000"/>
            <rFont val="Tahoma"/>
            <family val="2"/>
          </rPr>
          <t xml:space="preserve">
</t>
        </r>
        <r>
          <rPr>
            <sz val="9"/>
            <color rgb="FF000000"/>
            <rFont val="Tahoma"/>
            <family val="2"/>
          </rPr>
          <t xml:space="preserve"> Borrowings under the Warehouse Facilities are secured against the respective consumer receivables.  While the Warehouse SPEs are included in our consolidated financial statements, they are separate legal entities that maintain legal ownership of the receivables they hold.</t>
        </r>
      </text>
    </comment>
    <comment ref="B102" authorId="0" shapeId="0" xr:uid="{91E3A8C6-80D6-524E-813C-E9BA41AADEFC}">
      <text>
        <r>
          <rPr>
            <b/>
            <sz val="9"/>
            <color rgb="FF000000"/>
            <rFont val="Tahoma"/>
            <family val="2"/>
          </rPr>
          <t>Johann:</t>
        </r>
        <r>
          <rPr>
            <sz val="9"/>
            <color rgb="FF000000"/>
            <rFont val="Tahoma"/>
            <family val="2"/>
          </rPr>
          <t xml:space="preserve">
</t>
        </r>
        <r>
          <rPr>
            <sz val="9"/>
            <color rgb="FF000000"/>
            <rFont val="Tahoma"/>
            <family val="2"/>
          </rPr>
          <t xml:space="preserve">Reinvested Earnings, otherwise known as, retained earnings.
</t>
        </r>
      </text>
    </comment>
    <comment ref="B127" authorId="0" shapeId="0" xr:uid="{A49CCFB8-BCBE-4D8E-82C5-9A52CBC9E718}">
      <text>
        <r>
          <rPr>
            <b/>
            <sz val="9"/>
            <color rgb="FF000000"/>
            <rFont val="Tahoma"/>
            <family val="2"/>
          </rPr>
          <t>Johann:</t>
        </r>
        <r>
          <rPr>
            <sz val="9"/>
            <color rgb="FF000000"/>
            <rFont val="Tahoma"/>
            <family val="2"/>
          </rPr>
          <t xml:space="preserve">
</t>
        </r>
        <r>
          <rPr>
            <sz val="9"/>
            <color rgb="FF000000"/>
            <rFont val="Tahoma"/>
            <family val="2"/>
          </rPr>
          <t>ASC 842 accounting: ASC 842 changed this by requiring companies to recognize a balance sheet liability for all leases over one year. This creates a corresponding right-of-use (ROU) asset, which represents the company's right to use the leased asset.</t>
        </r>
      </text>
    </comment>
    <comment ref="B136" authorId="0" shapeId="0" xr:uid="{29F368F2-8135-4EBB-AEF4-43C352173ED8}">
      <text>
        <r>
          <rPr>
            <b/>
            <sz val="9"/>
            <color indexed="81"/>
            <rFont val="Tahoma"/>
            <family val="2"/>
          </rPr>
          <t>Johann:</t>
        </r>
        <r>
          <rPr>
            <sz val="9"/>
            <color indexed="81"/>
            <rFont val="Tahoma"/>
            <family val="2"/>
          </rPr>
          <t xml:space="preserve">
Money owed to a person or company in exchange for a settlement, which would be a cred card transaction, or a debt payment, and is considered an asset.</t>
        </r>
      </text>
    </comment>
    <comment ref="B137" authorId="0" shapeId="0" xr:uid="{4A476009-AD9B-47BC-8143-32F9D6F80D42}">
      <text>
        <r>
          <rPr>
            <b/>
            <sz val="9"/>
            <color rgb="FF000000"/>
            <rFont val="Tahoma"/>
            <family val="2"/>
          </rPr>
          <t>Johann:</t>
        </r>
        <r>
          <rPr>
            <sz val="9"/>
            <color rgb="FF000000"/>
            <rFont val="Tahoma"/>
            <family val="2"/>
          </rPr>
          <t xml:space="preserve">
</t>
        </r>
        <r>
          <rPr>
            <sz val="9"/>
            <color rgb="FF000000"/>
            <rFont val="Tahoma"/>
            <family val="2"/>
          </rPr>
          <t>Purchases and originations of loans are the costs of the processes of creating a new loan and purchasing existing loans from other lenders.</t>
        </r>
      </text>
    </comment>
    <comment ref="B140" authorId="0" shapeId="0" xr:uid="{2CE68561-2D74-4F1B-B25D-6BF294E7BA2D}">
      <text>
        <r>
          <rPr>
            <b/>
            <sz val="9"/>
            <color indexed="81"/>
            <rFont val="Tahoma"/>
            <family val="2"/>
          </rPr>
          <t>Johann:</t>
        </r>
        <r>
          <rPr>
            <sz val="9"/>
            <color indexed="81"/>
            <rFont val="Tahoma"/>
            <family val="2"/>
          </rPr>
          <t xml:space="preserve">
Refers to money owed as part of a final payment in a transaction, such as funds due to a merchant from a customer's bank.</t>
        </r>
      </text>
    </comment>
    <comment ref="B150" authorId="0" shapeId="0" xr:uid="{FA5D9F4A-E8A0-49CF-B2BA-27CC81C0EA9C}">
      <text>
        <r>
          <rPr>
            <b/>
            <sz val="9"/>
            <color indexed="81"/>
            <rFont val="Tahoma"/>
            <family val="2"/>
          </rPr>
          <t>Johann:</t>
        </r>
        <r>
          <rPr>
            <sz val="9"/>
            <color indexed="81"/>
            <rFont val="Tahoma"/>
            <family val="2"/>
          </rPr>
          <t xml:space="preserve">
payments from Block Inc. owed to loan originators for loan services.</t>
        </r>
      </text>
    </comment>
    <comment ref="B151" authorId="0" shapeId="0" xr:uid="{4733B655-B3C2-49E7-B408-9E9B2AF3F356}">
      <text>
        <r>
          <rPr>
            <b/>
            <sz val="9"/>
            <color indexed="81"/>
            <rFont val="Tahoma"/>
            <family val="2"/>
          </rPr>
          <t>Johann:</t>
        </r>
        <r>
          <rPr>
            <sz val="9"/>
            <color indexed="81"/>
            <rFont val="Tahoma"/>
            <family val="2"/>
          </rPr>
          <t xml:space="preserve">
Some companies sell their consumer receivables to a third-party company, known as a factor, to receive immediate cash instead of waiting for customers to pay. </t>
        </r>
      </text>
    </comment>
    <comment ref="B160" authorId="0" shapeId="0" xr:uid="{580007E3-3D50-4594-8047-B797AE32D050}">
      <text>
        <r>
          <rPr>
            <b/>
            <sz val="9"/>
            <color indexed="81"/>
            <rFont val="Tahoma"/>
            <family val="2"/>
          </rPr>
          <t>Johann:</t>
        </r>
        <r>
          <rPr>
            <sz val="9"/>
            <color indexed="81"/>
            <rFont val="Tahoma"/>
            <family val="2"/>
          </rPr>
          <t xml:space="preserve">
The Paycheck Protection Program (PPP) was a U.S. government program under the CARES Act to provide loans to small businesses to help them keep their employees and cover other essential costs during economic uncertainty. Launched in 2020, the program provided low-interest, forgivable loans for eligible payroll, mortgage interest, rent, and utility payments. The PPP prioritized job retention and workforce stability, with funds available to small businesses, sole proprietors, and independent contractors.  
</t>
        </r>
      </text>
    </comment>
    <comment ref="B180" authorId="0" shapeId="0" xr:uid="{55A82D6E-AFF6-4EF6-8EBE-5610954DDCCD}">
      <text>
        <r>
          <rPr>
            <b/>
            <sz val="9"/>
            <color indexed="81"/>
            <rFont val="Tahoma"/>
            <family val="2"/>
          </rPr>
          <t>Johann:</t>
        </r>
        <r>
          <rPr>
            <sz val="9"/>
            <color indexed="81"/>
            <rFont val="Tahoma"/>
            <family val="2"/>
          </rPr>
          <t xml:space="preserve">
This restricted cash will be used to pay the borrowings under the </t>
        </r>
        <r>
          <rPr>
            <b/>
            <sz val="9"/>
            <color indexed="81"/>
            <rFont val="Tahoma"/>
            <family val="2"/>
          </rPr>
          <t>warehouse funding facilities</t>
        </r>
        <r>
          <rPr>
            <sz val="9"/>
            <color indexed="81"/>
            <rFont val="Tahoma"/>
            <family val="2"/>
          </rPr>
          <t xml:space="preserve"> or will be distributed to the Company. The Company's total restricted cash also includes pledged cash deposits in accounts at the financial institutions that process the Company's sellers' payment transactions and collateral pursuant to various agreements with banks relating to the Company's products.</t>
        </r>
      </text>
    </comment>
    <comment ref="B181" authorId="0" shapeId="0" xr:uid="{EF80FF7B-78DA-4198-82AB-A60B9ED4C69B}">
      <text>
        <r>
          <rPr>
            <b/>
            <sz val="9"/>
            <color indexed="81"/>
            <rFont val="Tahoma"/>
            <family val="2"/>
          </rPr>
          <t>Johann:</t>
        </r>
        <r>
          <rPr>
            <sz val="9"/>
            <color indexed="81"/>
            <rFont val="Tahoma"/>
            <family val="2"/>
          </rPr>
          <t xml:space="preserve">
Long term restricted cash is primarily related to cash held as collateral as required by the FDIC for Square Financial Services. The Company has recorded these amounts as non-current assets on the consolidated balance sheets as the requirement by the FDIC specifies a time frame of 12 months or longer during which the cash must remain restricted.</t>
        </r>
      </text>
    </comment>
    <comment ref="B182" authorId="0" shapeId="0" xr:uid="{733A9CDA-3AA1-4CEB-BB0B-04F6924B3687}">
      <text>
        <r>
          <rPr>
            <b/>
            <sz val="9"/>
            <color indexed="81"/>
            <rFont val="Tahoma"/>
            <family val="2"/>
          </rPr>
          <t>Johann:</t>
        </r>
        <r>
          <rPr>
            <sz val="9"/>
            <color indexed="81"/>
            <rFont val="Tahoma"/>
            <family val="2"/>
          </rPr>
          <t xml:space="preserve">
 Customer funds represent customers' stored balances that customers would later use to send money or make payments, or customers cash in transit.
Company is restricted from using the funds in the Company's operations, but may invest these funds in short-term marketable debt securities to earn interest.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Johann</author>
  </authors>
  <commentList>
    <comment ref="E3" authorId="0" shapeId="0" xr:uid="{6BDAFE7F-53D1-45E7-B24F-303849A8B28A}">
      <text>
        <r>
          <rPr>
            <b/>
            <sz val="9"/>
            <color indexed="81"/>
            <rFont val="Tahoma"/>
            <family val="2"/>
          </rPr>
          <t>Johann:</t>
        </r>
        <r>
          <rPr>
            <sz val="9"/>
            <color indexed="81"/>
            <rFont val="Tahoma"/>
            <family val="2"/>
          </rPr>
          <t xml:space="preserve">
Products and services that aren't not assigned to a specific reportable segment , including but not limited to TIDAL, and other emerging segments, are aggregated and presented within a general 'corporate and other' category.</t>
        </r>
      </text>
    </comment>
    <comment ref="E4" authorId="0" shapeId="0" xr:uid="{BB5635CF-58F5-443A-9DFF-30C9AC0F83C2}">
      <text>
        <r>
          <rPr>
            <b/>
            <sz val="9"/>
            <color rgb="FF000000"/>
            <rFont val="Tahoma"/>
            <family val="2"/>
          </rPr>
          <t>Johann:</t>
        </r>
        <r>
          <rPr>
            <sz val="9"/>
            <color rgb="FF000000"/>
            <rFont val="Tahoma"/>
            <family val="2"/>
          </rPr>
          <t xml:space="preserve">
</t>
        </r>
        <r>
          <rPr>
            <sz val="9"/>
            <color rgb="FF000000"/>
            <rFont val="Tahoma"/>
            <family val="2"/>
          </rPr>
          <t>Products and services that aren't not assigned to a specific reportable segment , including but not limited to TIDAL, and other emerging segments, are aggregated and presented within a general 'corporate and other' category.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<sst xmlns="http://schemas.openxmlformats.org/spreadsheetml/2006/main" count="919" uniqueCount="520">
  <si>
    <t>Revenue</t>
  </si>
  <si>
    <t>Gross Profit</t>
  </si>
  <si>
    <t>Income Statement</t>
  </si>
  <si>
    <t>Selling, general, &amp; administrative expenses</t>
  </si>
  <si>
    <t>Net Income</t>
  </si>
  <si>
    <t>Benefit from income taxes</t>
  </si>
  <si>
    <t>-</t>
  </si>
  <si>
    <t>Balance Sheet</t>
  </si>
  <si>
    <t>Cash and cash equivalents</t>
  </si>
  <si>
    <t>Short term marketable securities</t>
  </si>
  <si>
    <t>Trade receivables - net</t>
  </si>
  <si>
    <t>Other assets</t>
  </si>
  <si>
    <t>Total current assets</t>
  </si>
  <si>
    <t>Loans - net</t>
  </si>
  <si>
    <t>Property and equipment - net</t>
  </si>
  <si>
    <t xml:space="preserve">Goodwill </t>
  </si>
  <si>
    <t>Long term marketable securities</t>
  </si>
  <si>
    <t>Total assets</t>
  </si>
  <si>
    <t>Other non-current assets</t>
  </si>
  <si>
    <t>Investments in and advances to affiliates</t>
  </si>
  <si>
    <t>Accrued expenses and other payables</t>
  </si>
  <si>
    <t>Current maturities of long-term debt</t>
  </si>
  <si>
    <t>Current Liabilities</t>
  </si>
  <si>
    <t>Payables to customers</t>
  </si>
  <si>
    <t>Total current liabilities</t>
  </si>
  <si>
    <t>Long-term liabilities</t>
  </si>
  <si>
    <t>Long-term debt</t>
  </si>
  <si>
    <t>Deferred income taxes</t>
  </si>
  <si>
    <t>Short-term assets</t>
  </si>
  <si>
    <t>Investments and long-term assets</t>
  </si>
  <si>
    <t>Operating lease liabilities</t>
  </si>
  <si>
    <t>Other non-current liabilities</t>
  </si>
  <si>
    <t>Total liabilities</t>
  </si>
  <si>
    <t>Shareholders’ Equity</t>
  </si>
  <si>
    <t>Reinvested earnings</t>
  </si>
  <si>
    <t>Accumulated other comprehensive income (loss)</t>
  </si>
  <si>
    <t>Non-controlling interests</t>
  </si>
  <si>
    <t xml:space="preserve">Additional paid-in capital </t>
  </si>
  <si>
    <t>Total stockholder's equity</t>
  </si>
  <si>
    <t>Cash Flow</t>
  </si>
  <si>
    <t xml:space="preserve">Adjustments to reconcile net income (loss) to net cash provided by operating activities: </t>
  </si>
  <si>
    <t>Amortization of discounts and premiums and other non-cash adjustments</t>
  </si>
  <si>
    <t>Non-cash lease expense</t>
  </si>
  <si>
    <t>Depreciation &amp; Amortization</t>
  </si>
  <si>
    <t xml:space="preserve">Goodwill and intangible asset impairment </t>
  </si>
  <si>
    <t xml:space="preserve">Loss (gain) on revaluation of equity investments </t>
  </si>
  <si>
    <t xml:space="preserve">Remeasurement gain on bitcoin investment </t>
  </si>
  <si>
    <t>Transaction, loan, and consumer receivable losses</t>
  </si>
  <si>
    <t>Bitcoin impairment losses</t>
  </si>
  <si>
    <t>Change in deferred income taxes</t>
  </si>
  <si>
    <t>Share-based compensation</t>
  </si>
  <si>
    <t>Cash flows from operating activities:</t>
  </si>
  <si>
    <t>Net income (loss)</t>
  </si>
  <si>
    <t>Depreciation and amortization</t>
  </si>
  <si>
    <t>Loss (gain) on revaluation of equity investments</t>
  </si>
  <si>
    <t>Remeasurement gain on bitcoin investment</t>
  </si>
  <si>
    <t>Goodwill and intangible asset impairment</t>
  </si>
  <si>
    <t>Purchases and originations of loans</t>
  </si>
  <si>
    <t>Proceeds from payments and forgiveness of loans</t>
  </si>
  <si>
    <t>Customers payable</t>
  </si>
  <si>
    <t>Settlements payable</t>
  </si>
  <si>
    <t>Other assets and liabilities</t>
  </si>
  <si>
    <t>Net cash provided by operating activities</t>
  </si>
  <si>
    <t>Purchases of marketable debt securities</t>
  </si>
  <si>
    <t>Proceeds from maturities of marketable debt securities</t>
  </si>
  <si>
    <t>Proceeds from sale of marketable debt securities</t>
  </si>
  <si>
    <t>Proceeds from maturities of marketable debt securities from customer funds</t>
  </si>
  <si>
    <t>Proceeds from sale of marketable debt securities from customer funds</t>
  </si>
  <si>
    <t>Payments for originations of consumer receivables</t>
  </si>
  <si>
    <t>Proceeds from principal repayments and sales of consumer receivables</t>
  </si>
  <si>
    <t>Purchases of property and equipment</t>
  </si>
  <si>
    <t>Purchases of other investments</t>
  </si>
  <si>
    <t>Business combinations, net of cash acquired</t>
  </si>
  <si>
    <t>—</t>
  </si>
  <si>
    <t xml:space="preserve">Changes in operating assets and liabilities: </t>
  </si>
  <si>
    <t>2,866,497</t>
  </si>
  <si>
    <t>(21,124)</t>
  </si>
  <si>
    <t>(553,005)</t>
  </si>
  <si>
    <t>Adjustments to reconcile net income (loss) to net cash provided by operating activities:</t>
  </si>
  <si>
    <t>376,127</t>
  </si>
  <si>
    <t>408,560</t>
  </si>
  <si>
    <t>340,523</t>
  </si>
  <si>
    <t>(1,099,024)</t>
  </si>
  <si>
    <t>(984,442)</t>
  </si>
  <si>
    <t>(592,489)</t>
  </si>
  <si>
    <t>72,055</t>
  </si>
  <si>
    <t>144,198</t>
  </si>
  <si>
    <t>129,811</t>
  </si>
  <si>
    <t>1,272,779</t>
  </si>
  <si>
    <t>1,276,097</t>
  </si>
  <si>
    <t>1,071,278</t>
  </si>
  <si>
    <t>(32,245)</t>
  </si>
  <si>
    <t>16,523</t>
  </si>
  <si>
    <t>(73,457)</t>
  </si>
  <si>
    <t>(420,918)</t>
  </si>
  <si>
    <t>(207,084)</t>
  </si>
  <si>
    <t>794,221</t>
  </si>
  <si>
    <t>660,663</t>
  </si>
  <si>
    <t>550,683</t>
  </si>
  <si>
    <t>46,571</t>
  </si>
  <si>
    <t>(1,665,812)</t>
  </si>
  <si>
    <t>(85,879)</t>
  </si>
  <si>
    <t>(69,593)</t>
  </si>
  <si>
    <t>133,853</t>
  </si>
  <si>
    <t>132,313</t>
  </si>
  <si>
    <t>Changes in operating assets and liabilities:</t>
  </si>
  <si>
    <t>Settlements receivable</t>
  </si>
  <si>
    <t>1,947,849</t>
  </si>
  <si>
    <t>(1,108,529)</t>
  </si>
  <si>
    <t>(1,499,057)</t>
  </si>
  <si>
    <t>(15,210,746)</t>
  </si>
  <si>
    <t>(8,586,293)</t>
  </si>
  <si>
    <t>(6,114,847)</t>
  </si>
  <si>
    <t>14,413,277</t>
  </si>
  <si>
    <t>8,032,687</t>
  </si>
  <si>
    <t>6,040,369</t>
  </si>
  <si>
    <t>(1,853,872)</t>
  </si>
  <si>
    <t>1,256,578</t>
  </si>
  <si>
    <t>1,060,861</t>
  </si>
  <si>
    <t>(8,139)</t>
  </si>
  <si>
    <t>(454,036)</t>
  </si>
  <si>
    <t>207,894</t>
  </si>
  <si>
    <t>121,448</t>
  </si>
  <si>
    <t>(379,271)</t>
  </si>
  <si>
    <t>(369,639)</t>
  </si>
  <si>
    <t>1,707,350</t>
  </si>
  <si>
    <t>100,961</t>
  </si>
  <si>
    <t>175,903</t>
  </si>
  <si>
    <t>Cash flows from investing activities:</t>
  </si>
  <si>
    <t>(1,197,804)</t>
  </si>
  <si>
    <t>(1,126,615)</t>
  </si>
  <si>
    <t>(755,697)</t>
  </si>
  <si>
    <t>1,005,580</t>
  </si>
  <si>
    <t>1,387,830</t>
  </si>
  <si>
    <t>999,569</t>
  </si>
  <si>
    <t>446,076</t>
  </si>
  <si>
    <t>339,095</t>
  </si>
  <si>
    <t>449,723</t>
  </si>
  <si>
    <t>73,000</t>
  </si>
  <si>
    <t>316,576</t>
  </si>
  <si>
    <t>(29,318,390)</t>
  </si>
  <si>
    <t>(23,968,787)</t>
  </si>
  <si>
    <t>(18,361,871)</t>
  </si>
  <si>
    <t>29,922,371</t>
  </si>
  <si>
    <t>24,241,651</t>
  </si>
  <si>
    <t>18,192,470</t>
  </si>
  <si>
    <t>(153,947)</t>
  </si>
  <si>
    <t>(151,151)</t>
  </si>
  <si>
    <t>(170,815)</t>
  </si>
  <si>
    <t>(53,934)</t>
  </si>
  <si>
    <t>(38,822)</t>
  </si>
  <si>
    <t>(56,712)</t>
  </si>
  <si>
    <t>539,453</t>
  </si>
  <si>
    <t>Net cash provided by investing activities</t>
  </si>
  <si>
    <t>649,952</t>
  </si>
  <si>
    <t>683,201</t>
  </si>
  <si>
    <t>1,225,696</t>
  </si>
  <si>
    <t>Cash flows from financing activities:</t>
  </si>
  <si>
    <t>Proceeds from issuance of senior notes</t>
  </si>
  <si>
    <t>2,000,000</t>
  </si>
  <si>
    <t>Payments of debt issuance costs from issuance of senior notes</t>
  </si>
  <si>
    <t>(26,619)</t>
  </si>
  <si>
    <t>Repayments of Paycheck Protection Program Liquidity Facility advances</t>
  </si>
  <si>
    <t>(16,840)</t>
  </si>
  <si>
    <t>(480,694)</t>
  </si>
  <si>
    <t>Payments to redeem convertible notes</t>
  </si>
  <si>
    <t>(461,761)</t>
  </si>
  <si>
    <t>(1,071,788)</t>
  </si>
  <si>
    <t>Proceeds from warehouse facilities borrowings</t>
  </si>
  <si>
    <t>1,255,745</t>
  </si>
  <si>
    <t>1,387,662</t>
  </si>
  <si>
    <t>1,620,805</t>
  </si>
  <si>
    <t>Repayments of warehouse facilities borrowings</t>
  </si>
  <si>
    <t>(1,329,729)</t>
  </si>
  <si>
    <t>(1,118,083)</t>
  </si>
  <si>
    <t>(391,463)</t>
  </si>
  <si>
    <t>Proceeds from the exercise of stock options and purchases under the employee stock purchase plan</t>
  </si>
  <si>
    <t>154,779</t>
  </si>
  <si>
    <t>130,433</t>
  </si>
  <si>
    <t>81,768</t>
  </si>
  <si>
    <t>Payments for tax withholding related to vesting of restricted stock units</t>
  </si>
  <si>
    <t>(4,735)</t>
  </si>
  <si>
    <t>Net increase in interest-bearing deposits</t>
  </si>
  <si>
    <t>74,856</t>
  </si>
  <si>
    <t>25,135</t>
  </si>
  <si>
    <t>82,049</t>
  </si>
  <si>
    <t>Repurchases of common stock</t>
  </si>
  <si>
    <t>(1,170,339)</t>
  </si>
  <si>
    <t>(156,812)</t>
  </si>
  <si>
    <t>Other financing activities</t>
  </si>
  <si>
    <t>(18,473)</t>
  </si>
  <si>
    <t>(19,977)</t>
  </si>
  <si>
    <t>(87,692)</t>
  </si>
  <si>
    <t>Change in customer funds, restricted from use in the Company's operations</t>
  </si>
  <si>
    <t>1,012,442</t>
  </si>
  <si>
    <t>(9,894)</t>
  </si>
  <si>
    <t>349,330</t>
  </si>
  <si>
    <t>Net cash provided by (used in) financing activities</t>
  </si>
  <si>
    <t>1,952,662</t>
  </si>
  <si>
    <t>(240,137)</t>
  </si>
  <si>
    <t>97,580</t>
  </si>
  <si>
    <t>Effect of foreign exchange rate on cash and cash equivalents</t>
  </si>
  <si>
    <t>(88,539)</t>
  </si>
  <si>
    <t>29,156</t>
  </si>
  <si>
    <t>(38,363)</t>
  </si>
  <si>
    <t>Net increase in cash, cash equivalents, restricted cash, and customer funds</t>
  </si>
  <si>
    <t>4,221,425</t>
  </si>
  <si>
    <t>573,181</t>
  </si>
  <si>
    <t>1,460,816</t>
  </si>
  <si>
    <t>Cash, cash equivalents, restricted cash, and customer funds, beginning of the period</t>
  </si>
  <si>
    <t>9,009,087</t>
  </si>
  <si>
    <t>8,435,906</t>
  </si>
  <si>
    <t>6,975,090</t>
  </si>
  <si>
    <t>Cash, cash equivalents, restricted cash, and customer funds, end of the period</t>
  </si>
  <si>
    <t>13,230,512</t>
  </si>
  <si>
    <t/>
  </si>
  <si>
    <t>Reconciliation of cash, cash equivalents, restricted cash, and customer funds:</t>
  </si>
  <si>
    <t>8,075,247</t>
  </si>
  <si>
    <t>4,996,465</t>
  </si>
  <si>
    <t>4,544,202</t>
  </si>
  <si>
    <t>Short-term restricted cash</t>
  </si>
  <si>
    <t>902,478</t>
  </si>
  <si>
    <t>770,380</t>
  </si>
  <si>
    <t>639,780</t>
  </si>
  <si>
    <t>Long-term restricted cash</t>
  </si>
  <si>
    <t>69,915</t>
  </si>
  <si>
    <t>71,812</t>
  </si>
  <si>
    <t>71,600</t>
  </si>
  <si>
    <t>Customer funds cash and cash equivalents</t>
  </si>
  <si>
    <t>4,182,872</t>
  </si>
  <si>
    <t>3,170,430</t>
  </si>
  <si>
    <t>3,180,324</t>
  </si>
  <si>
    <t>Total</t>
  </si>
  <si>
    <t>Check</t>
  </si>
  <si>
    <t>Financial Ratios:</t>
  </si>
  <si>
    <t>Liquidity Ratio</t>
  </si>
  <si>
    <t>Cash Ratio</t>
  </si>
  <si>
    <t>Quick ratio</t>
  </si>
  <si>
    <t>DTE</t>
  </si>
  <si>
    <t>DTA</t>
  </si>
  <si>
    <t>EPS</t>
  </si>
  <si>
    <t>Revenue Growth</t>
  </si>
  <si>
    <t>Operating Expenses</t>
  </si>
  <si>
    <t>Product development</t>
  </si>
  <si>
    <t>Right-to-use lease</t>
  </si>
  <si>
    <t>Warehouse funding facilities - current</t>
  </si>
  <si>
    <t>Warehouse funding facilities - noncurrent</t>
  </si>
  <si>
    <t>Model NI</t>
  </si>
  <si>
    <t>Investments into AI open source building</t>
  </si>
  <si>
    <t>Small consumer and business loans through CashApp</t>
  </si>
  <si>
    <t>COGS</t>
  </si>
  <si>
    <t>Revenue -Recongition</t>
  </si>
  <si>
    <t>Cashapp</t>
  </si>
  <si>
    <t>Square</t>
  </si>
  <si>
    <t>Afterpay</t>
  </si>
  <si>
    <t>TIDAL</t>
  </si>
  <si>
    <t>bitkey</t>
  </si>
  <si>
    <t>PROTO</t>
  </si>
  <si>
    <t>Collect transaction fees - net of acquiring interchange and assessment fees, processing fees, and bank settlement fees paid to third-party payment processors</t>
  </si>
  <si>
    <t>Work with payment card networks and banks, working with complex systems  in the payment industry</t>
  </si>
  <si>
    <t>Revenue is recognized on authorization of the seller's customer's bank.</t>
  </si>
  <si>
    <t>Business and credit card transactions between peers have a transaction fee</t>
  </si>
  <si>
    <t>SaaS PRODUCTS</t>
  </si>
  <si>
    <t>Cash App Instant Deposit, Cash App Card, interest earned on customer funds, bitcoin withdrawal fees, Square Loans, Cash App Borrow, the Company's BNPL platform, TIDAL,</t>
  </si>
  <si>
    <r>
      <rPr>
        <i/>
        <sz val="12"/>
        <color theme="1"/>
        <rFont val="Calibri"/>
        <family val="2"/>
        <scheme val="minor"/>
      </rPr>
      <t xml:space="preserve"> Instant Deposit</t>
    </r>
    <r>
      <rPr>
        <sz val="12"/>
        <color theme="1"/>
        <rFont val="Calibri"/>
        <family val="2"/>
        <scheme val="minor"/>
      </rPr>
      <t xml:space="preserve"> is a functionality within the Cash App and the Company's managed payments solution that enables customers, including individuals
 and sellers, to instantly deposit funds into their bank accounts for a percentage-based fee of the amounts deposited.</t>
    </r>
  </si>
  <si>
    <t>The Company is restricted from using the stored funds in the Company's operations, the Company may invest a portion of these funds in short-term marketable debt securities to generate interest income which is reported as revenue.</t>
  </si>
  <si>
    <t>BNPL platform</t>
  </si>
  <si>
    <t>seller; upfront, less taxes, if applicable, and a merchant fee, which consists of fixed and variable rates as contracted with the sellers</t>
  </si>
  <si>
    <t>The Company also incurs other costs such as fees paid to third-party partners and processing fees to complete the consumer purchase transaction.</t>
  </si>
  <si>
    <t>An assumed non-payment risk</t>
  </si>
  <si>
    <t>The Company sells certain consumer receivables to a third party investor and records the gain or loss on sale as revenue within subscription and services-based revenue</t>
  </si>
  <si>
    <t>The Company initially recognizes a consumer receivable equal to net amounts paid to the seller plus any costs incurred to originate the consumer receivable. The Company recognizes the merchant fee less costs incurred to originate the consumer receivables as revenue using the effective interest method.</t>
  </si>
  <si>
    <t>the Company is retained to service the consumer receivables and earns a servicing fee, which is recorded within subscription and services-based revenue as the services are delivered</t>
  </si>
  <si>
    <t>Through the BNPL platform, the Company also has an ads and affiliate program for its merchants. For affiliate relationships, the Company receives a commission when a consumer completes a purchase from within the BNPL platform, which is recognized as a fee earned in connection with the origination of a consumer receivable and recognized as revenue using the effective interest method.</t>
  </si>
  <si>
    <t>The Company may also receive digital advertising revenue on clicks, typically earned on a cost per click (“CPC”) basis, to merchant sites from the BNPL platform, in addition to flat fees for premium ad placements.</t>
  </si>
  <si>
    <t>Subscription and Services-based Revenue</t>
  </si>
  <si>
    <t>Revenue from CPC arrangements are generally recognized in the period the user click is delivered.</t>
  </si>
  <si>
    <t>TIDAL primarily generates revenue from subscriptions to its customers, and such subscriptions allow access to the song library, video library, and improved sound quality.</t>
  </si>
  <si>
    <t>charges customers a monthly fee for those subscription services,</t>
  </si>
  <si>
    <t>The Company's contracts with customers are generally for a term of one month and renew automatically each month. The Company invoices its customers monthly</t>
  </si>
  <si>
    <t>Hardware Revenue</t>
  </si>
  <si>
    <t>Hardware revenue includes revenue from sales of magstripe readers, contactless and chip readers, Square Stand, Square Register, Square Terminal, and third-party peripherals.</t>
  </si>
  <si>
    <t>Third-party peripherals include cash drawers, receipt printers, scales, and barcode scanners, all of which can be integrated with Square Stand, Square Register, or Square Terminal to provide a comprehensive point-of-sale solution.</t>
  </si>
  <si>
    <t>generates revenue through the sale of hardware through e-commerce and through its retail distribution channels.</t>
  </si>
  <si>
    <t>Bitcoin Revenue</t>
  </si>
  <si>
    <t>The Company offers its Cash App customers the ability to purchase bitcoin, a cryptocurrency denominated asset, from the Company.</t>
  </si>
  <si>
    <t xml:space="preserve">The Company purchases bitcoin from private broker dealers or from Cash App customers and applies a marginal fee before selling it to its customers. </t>
  </si>
  <si>
    <t>The amounts received from customers and exchanges are recorded as revenue on a gross basis and the associated bitcoin cost as cost of revenues, as the Company is the principal in the bitcoin sale transaction.</t>
  </si>
  <si>
    <t>The Company has concluded it is the principal because it controls the bitcoin before delivery to the customers, it is primarily responsible for the delivery of the bitcoin to the customers, it is exposed to risks arising from fluctuations of the market price of bitcoin before delivery to customers, and has discretion in setting prices charged to customers</t>
  </si>
  <si>
    <t>Costs</t>
  </si>
  <si>
    <r>
      <t xml:space="preserve">Transaction-based costs consist primarily of </t>
    </r>
    <r>
      <rPr>
        <u/>
        <sz val="12"/>
        <color theme="1"/>
        <rFont val="Calibri"/>
        <family val="2"/>
        <scheme val="minor"/>
      </rPr>
      <t>interchange</t>
    </r>
    <r>
      <rPr>
        <sz val="12"/>
        <color theme="1"/>
        <rFont val="Calibri"/>
        <family val="2"/>
        <scheme val="minor"/>
      </rPr>
      <t xml:space="preserve"> and assessment fees, processing fees and bank settlement fees paid to third-party payment processors and financial institutions.</t>
    </r>
  </si>
  <si>
    <t>Subscriptions and services-based costs consist primarily of processing and partnership fees related to Cash App including Instant Deposit, Cash App Card, as well as costs associated with the Company's BNPL platform, and TIDAL</t>
  </si>
  <si>
    <t>Product costs include third-party manufacturing-related overhead and personnel-related costs, certain royalties, packaging, and fulfillment costs</t>
  </si>
  <si>
    <t>Bitcoin costs consist of the total amount the Company pays to purchase bitcoin that is sold to customers.</t>
  </si>
  <si>
    <t>Businesses</t>
  </si>
  <si>
    <t>Type:</t>
  </si>
  <si>
    <t>Buy Now, Pay Later platform</t>
  </si>
  <si>
    <t>Music</t>
  </si>
  <si>
    <t>Bitcoin mining</t>
  </si>
  <si>
    <t>Bitcoin wallet</t>
  </si>
  <si>
    <t>Peer-to-peer money transfers, loans</t>
  </si>
  <si>
    <t>Commerce and payment process services</t>
  </si>
  <si>
    <t>companies - FINTECH:</t>
  </si>
  <si>
    <t>Transaction-based Revenue</t>
  </si>
  <si>
    <t>The Company also charges certain Cash App customers making peer-to-peer transactions using business accounts, or funding transactions with a credit card, a transaction fee that is generally calculated as a percentage of the total transaction amount processed.</t>
  </si>
  <si>
    <t>Within the Cash App, utilizing a Visa Card, the Company charges the customer a per transaction fee when they instantly deposit funds to their bank account or withdraw funds from an ATM. The Company also earns interchange fees when a Cash App Card is used to make a purchase.</t>
  </si>
  <si>
    <t>Bitcoin withdrawal is a functionality within the Cash App that enables customers to withdraw bitcoin stored on Cash App to a third party wallet.</t>
  </si>
  <si>
    <t>Loans</t>
  </si>
  <si>
    <t>The loans are either repaid through withholding a percentage of the collections of the seller's receivables processed by the Company ("flex loans")</t>
  </si>
  <si>
    <t>a specified monthly amount ("term loans")</t>
  </si>
  <si>
    <t>the seller is charged a one-time origination fee based upon their risk rating, which is derived primarily from processing activity.</t>
  </si>
  <si>
    <t>it is the Company’s intent to sell all of its rights, title, and interest of these loans to third-party investors for an upfront fee when the loans are sold.</t>
  </si>
  <si>
    <t>The Company records the amounts advanced to the
 customers or the net amounts paid to purchase the loans as cost of the loans.</t>
  </si>
  <si>
    <t>The Company is retained by the third-party investors to service the loans and earns a servicing fee for facilitating the repayment of these receivables through its managed payments solutions.</t>
  </si>
  <si>
    <t>Cash App Borrow</t>
  </si>
  <si>
    <t>credit product for Cash App customers, allows customers to access short-term loans for a small fee.</t>
  </si>
  <si>
    <t>The loans are originated by the bank partner, from whom the Company purchases the loans obtaining all rights, title, and interest.</t>
  </si>
  <si>
    <t>consumers can pay for their purchases over time by splitting their purchase price into generally three or four installments, typically due in two-week increments, without paying fees (if payments are made on time)</t>
  </si>
  <si>
    <t xml:space="preserve">December 31,2024 </t>
  </si>
  <si>
    <t>Local: Our go-to-market strategy is focused on verticals with a local approach, specifically restaurants and services-based businesses. Growing upmarket has shown us that even larger sellers want to feel authentic to their buyers. We can enable this type of robust offering through our technology and by improving the onboarding process through sales and account management</t>
  </si>
  <si>
    <t>Strategies</t>
  </si>
  <si>
    <t>Artificial Intelligence (AI): We are focused on enabling growth by leveraging AI to increase productivity and outcomes for our sales and marketing, customer service, and engineering efforts, in addition to building features that help sellers grow their businesses.</t>
  </si>
  <si>
    <t>Banking: Our robust banking offering primarily helps our sellers manage cash flow and grow their business through our lending capabilities.</t>
  </si>
  <si>
    <t>more than 4 million sellers used the Square ecosystem to make 5.2 billion individual sales transactions totaling $228 billion of Square GPV</t>
  </si>
  <si>
    <t>Seasonality</t>
  </si>
  <si>
    <t>Q1</t>
  </si>
  <si>
    <t>Q2</t>
  </si>
  <si>
    <t>Q3</t>
  </si>
  <si>
    <t>Q4</t>
  </si>
  <si>
    <t>Weak</t>
  </si>
  <si>
    <t>Strong</t>
  </si>
  <si>
    <t>Reasons:</t>
  </si>
  <si>
    <t>Their sellers typically generate large GPV during holiday season.</t>
  </si>
  <si>
    <t>Historically, our Cash App ecosystem has experienced improvements in revenue, gross profit, and inflows related to the distribution of government funds as customers have deposited more funds into Cash App during these times, including during the first quarter when U.S. tax refunds are typically distributed.</t>
  </si>
  <si>
    <t>CashApp</t>
  </si>
  <si>
    <t>Transaction-based revenue, hardware, and subscription-based, BNPL`</t>
  </si>
  <si>
    <t>Market Risks:</t>
  </si>
  <si>
    <t>Our sellers’ activity with us may decrease for a variety of reasons, including sellers’ level of satisfaction with our products and services, our pricing and the pricing and quality of competing products or services, the effects of economic conditions, or reductions in the aggregate spending of our sellers’ customers.</t>
  </si>
  <si>
    <t xml:space="preserve">A number of factors have affected and could negatively affect Cash App customer
 growth, inflows, and engagement levels, including our ability to introduce new products and services that are compelling to our customers and that they adopt,
 changes to our systems, processes or other technical or operational requirements that impact how customers use or access our products and services, the impact
 on our network of other customers choosing whether to use Cash App, our decision to expand into or exit certain markets, technical or other problems that
 affect customer experience, failure to provide sufficient customer support, fraud and scams targeting Cash App customers, changes in the regulatory
 environment or regulations applicable to us, and harm to our reputation and brand. </t>
  </si>
  <si>
    <t>growth rate of Cash App revenue may be distorted by the prices of bitcoin</t>
  </si>
  <si>
    <t>If we are unable to increase broader use of our products and services within each of our ecosystems by our existing sellers and customers, our growth may slow or stop, and our business may be materially and adversely affected.</t>
  </si>
  <si>
    <t>Growth Potential:</t>
  </si>
  <si>
    <t>Improve products and services</t>
  </si>
  <si>
    <t>Create new products and services</t>
  </si>
  <si>
    <t>Attract new customers</t>
  </si>
  <si>
    <t>Our business depends on our ability to maintain, protect, and enhance our brands</t>
  </si>
  <si>
    <t>If we fail to successfully promote and maintain our brands or if we incur excessive expenses in this effort, our business could be materially and adversely affected</t>
  </si>
  <si>
    <t>Rapid and significant technological changes continue to confront the industries in which we operate, including developments in omnichannel commerce, proximity payment devices (including contactless payments via NFC technology), digital banking, mobile financial apps, cryptocurrencies, tokenization (e.g., replacing sensitive data such as payment card information with symbols (tokens) to keep the data safe), blockchain, and AI, including machine learning</t>
  </si>
  <si>
    <t>Assumptions &amp; Drivers</t>
  </si>
  <si>
    <t>Block Inc.</t>
  </si>
  <si>
    <t>Johann Somosa</t>
  </si>
  <si>
    <t>All figures in USD thousands unless indicated</t>
  </si>
  <si>
    <t>Days in Period</t>
  </si>
  <si>
    <t>Profit Margin</t>
  </si>
  <si>
    <t>Gross Margin</t>
  </si>
  <si>
    <t>EBIT</t>
  </si>
  <si>
    <t>Maketing Costs (Percentage of Sales)</t>
  </si>
  <si>
    <t>Product Development Costs (Percentage of Sales)</t>
  </si>
  <si>
    <t>Non-restricted Cash Ratio</t>
  </si>
  <si>
    <t xml:space="preserve">Market CAP </t>
  </si>
  <si>
    <t>Capital Asset Turnover Ratio</t>
  </si>
  <si>
    <t>Quick Ratio</t>
  </si>
  <si>
    <t>Financial Leverage Ratio</t>
  </si>
  <si>
    <t>Payable Days (COGS Basis)</t>
  </si>
  <si>
    <t>Loan Turnover Ratio (Sales Basis)</t>
  </si>
  <si>
    <t>Return on Assets</t>
  </si>
  <si>
    <t>Return On Capital Earnings</t>
  </si>
  <si>
    <t>2025 Q2 Earnings Report</t>
  </si>
  <si>
    <t>Pay Monthly for Afterpay Single Use Payments in the U.S.</t>
  </si>
  <si>
    <t>Sauce: we provide what we believe is the only way to buy
bitcoin with no fees and no spread</t>
  </si>
  <si>
    <t>Collect transaction fees on Square products - net of acquiring interchange and assessment fees, processing fees, and bank settlement fees paid to third-party payment processors</t>
  </si>
  <si>
    <t>"We’re focused on winning the quick serve restaurant market"</t>
  </si>
  <si>
    <t>Operating Income Margin</t>
  </si>
  <si>
    <t>Gross profit was $2.5 billion, up 14% year over year, accelerating from 9% growth last quarter.</t>
  </si>
  <si>
    <t>Competition</t>
  </si>
  <si>
    <t>Tax Rate</t>
  </si>
  <si>
    <t>Q225</t>
  </si>
  <si>
    <t>Q125</t>
  </si>
  <si>
    <t>Q324</t>
  </si>
  <si>
    <t>Q224</t>
  </si>
  <si>
    <t>Q124</t>
  </si>
  <si>
    <t>Transactions, loans, and consumer receivable losses</t>
  </si>
  <si>
    <t>Interest income  (expense)</t>
  </si>
  <si>
    <t>Other income (expense)</t>
  </si>
  <si>
    <t>Cost of Debt</t>
  </si>
  <si>
    <t>Period</t>
  </si>
  <si>
    <t>Free Cash Flow</t>
  </si>
  <si>
    <t>WACC</t>
  </si>
  <si>
    <t>Cost of Equity</t>
  </si>
  <si>
    <t>Corporate Tax Rate</t>
  </si>
  <si>
    <t>Discounting</t>
  </si>
  <si>
    <t>Discount Factor</t>
  </si>
  <si>
    <t>PV of TV</t>
  </si>
  <si>
    <t>Total Debt</t>
  </si>
  <si>
    <t>Cash</t>
  </si>
  <si>
    <t>Marketable Securities</t>
  </si>
  <si>
    <t>Equity Value</t>
  </si>
  <si>
    <t>Shares Outstanding</t>
  </si>
  <si>
    <t>Implied Shared Price</t>
  </si>
  <si>
    <t>Price</t>
  </si>
  <si>
    <t>Shares</t>
  </si>
  <si>
    <t>Mk</t>
  </si>
  <si>
    <t>Shares outstanding</t>
  </si>
  <si>
    <t>Market CAP</t>
  </si>
  <si>
    <t>Outstanding Shares</t>
  </si>
  <si>
    <t>Strategies / Outlook</t>
  </si>
  <si>
    <t>Market</t>
  </si>
  <si>
    <t>CashApp: Cash App is aiming to become one of the top providers of banking services to
 households in the United States that earn up to $150,000 per year</t>
  </si>
  <si>
    <t>Lightspeed</t>
  </si>
  <si>
    <t>Shopify</t>
  </si>
  <si>
    <t>Toast</t>
  </si>
  <si>
    <t>Aloha</t>
  </si>
  <si>
    <t>Cloud</t>
  </si>
  <si>
    <t>NCR Voyix</t>
  </si>
  <si>
    <t>Cloverflex</t>
  </si>
  <si>
    <t>oracle pos</t>
  </si>
  <si>
    <t>Shift4</t>
  </si>
  <si>
    <t xml:space="preserve">New Product Releases </t>
  </si>
  <si>
    <t>Square AI</t>
  </si>
  <si>
    <t>Square Handheld</t>
  </si>
  <si>
    <t>Square Online</t>
  </si>
  <si>
    <t>Bitcoin payments through square</t>
  </si>
  <si>
    <t>Cash App pay for businesses</t>
  </si>
  <si>
    <t>Cash Spot (AI-powered customer support)</t>
  </si>
  <si>
    <t>Pay-Monthly for  for after-pay single-use payments</t>
  </si>
  <si>
    <t>Personalized plans</t>
  </si>
  <si>
    <t>Cash App</t>
  </si>
  <si>
    <t>Increasing attach rates for post-purchase BNPL on cash up card</t>
  </si>
  <si>
    <t>meaningfully ramping up borrowing from Square's Financial Services</t>
  </si>
  <si>
    <t>SFS, now originates the majority of borrow loans for our customers</t>
  </si>
  <si>
    <t xml:space="preserve"> higher borrow limits for paycheck deposits </t>
  </si>
  <si>
    <t>Scale peer-to-peer platforms</t>
  </si>
  <si>
    <t>$218 billion in peer-to-peer volume</t>
  </si>
  <si>
    <t>Broad Commerce capabilities</t>
  </si>
  <si>
    <t>Generated $183 billion in volume</t>
  </si>
  <si>
    <t xml:space="preserve">Banking solutions </t>
  </si>
  <si>
    <t>8 million actives either deposited a paycheck or spent at least $500 across cash</t>
  </si>
  <si>
    <t xml:space="preserve"> Borrow reached $18 billion in annualized originations</t>
  </si>
  <si>
    <t>Bitcoin</t>
  </si>
  <si>
    <t>We've enabled millions of actas to buy and sell $58 billion in Bitcoin</t>
  </si>
  <si>
    <t>Turning to Square, year over year, GPD growth accelerated to 10% in the second quarter.</t>
  </si>
  <si>
    <t>GPD growth in retail up 10% and food and bevarage up 15%</t>
  </si>
  <si>
    <t xml:space="preserve">International growth up 25% </t>
  </si>
  <si>
    <t>Transaction, Loans, and Consumer Receivable Losses (Percentage of Sales)</t>
  </si>
  <si>
    <t>Market Value</t>
  </si>
  <si>
    <t>Peer-to-peer money transfers, financial services, loans</t>
  </si>
  <si>
    <t>Block Inc. is a Fin-Tech company that empowers economic choices through their product and services ecosystem. They improve customers life to acces to their financial services on CashApp, through their P2P money transfer, deposits, withdrawals and lower-rate loans. They enable and improve commerce for businesses on Square through hardware, software, and payment process services. After their recent acquisition, the Company provides purchasing offers through their 'Buy Now, Pay Later' platform. The Company connect artists to their audiences on Tidal through their connections with music labels, high fidelity sound. The Company provides improved pathways for Bitcoin owners on their Bitcoin ecoystem through products Bitkey, Proto, and Spiral.</t>
  </si>
  <si>
    <t>Bitkey</t>
  </si>
  <si>
    <t>Music streaming platform</t>
  </si>
  <si>
    <t>The Company’s intent to sell all of its rights, title, and interest of these loans to third-party investors for an upfront fee when the loans are sold.</t>
  </si>
  <si>
    <t>The seller is charged a one-time origination fee based upon their risk rating, which is derived primarily from processing activity.</t>
  </si>
  <si>
    <t xml:space="preserve">Square Loans facilitates loans to qualified Square sellers through the Company's subsidiary, Square Financial Services, Inc. ("Square Financial Services"), which is an industrial loan company. </t>
  </si>
  <si>
    <t>The loans are either repaid through withholding a percentage of the collections of the seller's receivables processed by the Company ("flex loans") or a specified monthly amount ("term loans").</t>
  </si>
  <si>
    <t>Consumers can pay for their purchases over time by splitting their purchase price into generally three or four installments, typically due in two-week increments, without paying fees (if payments are made on time)</t>
  </si>
  <si>
    <t>Credit product for Cash App customers, allows customers to access short-term loans for a small fee.</t>
  </si>
  <si>
    <t>Seller; upfront, less taxes, if applicable, and a merchant fee, which consists of fixed and variable rates as contracted with the sellers</t>
  </si>
  <si>
    <t>TIDAL primarily generates revenue from subscriptions to its customers, and such subscriptions allow access to the song library, video library, and improved sound quality. charges customers a monthly fee for those subscription services. The Company's contracts with customers are generally for a term of one month and renew automatically each month. The Company invoices its customers monthly</t>
  </si>
  <si>
    <r>
      <t>Transaction-based</t>
    </r>
    <r>
      <rPr>
        <u/>
        <sz val="12"/>
        <color theme="1"/>
        <rFont val="Calibri"/>
        <family val="2"/>
        <scheme val="minor"/>
      </rPr>
      <t xml:space="preserve"> </t>
    </r>
    <r>
      <rPr>
        <sz val="12"/>
        <color theme="1"/>
        <rFont val="Calibri"/>
        <family val="2"/>
        <scheme val="minor"/>
      </rPr>
      <t>costs consist primarily of interchange and assessment fees, processing fees and bank settlement fees paid to third-party payment processors and financial institutions.</t>
    </r>
  </si>
  <si>
    <t xml:space="preserve">Debt </t>
  </si>
  <si>
    <t>Equity</t>
  </si>
  <si>
    <t>Transaction-based revenue</t>
  </si>
  <si>
    <t>Subscription and services-based revenue</t>
  </si>
  <si>
    <t>Hardware revenue</t>
  </si>
  <si>
    <t>Bitcoin revenue</t>
  </si>
  <si>
    <t>Segment revenue</t>
  </si>
  <si>
    <t>Less: Cost of revenue</t>
  </si>
  <si>
    <t>Segment gross profit</t>
  </si>
  <si>
    <t>Interest revenue</t>
  </si>
  <si>
    <t>Amortization of acquired technology assets</t>
  </si>
  <si>
    <t>Segment (Year ended in Dec. 31, 2024)</t>
  </si>
  <si>
    <t>Segment (Year ended in Dec. 31, 2023)</t>
  </si>
  <si>
    <t>Segment (Year ended in Dec. 31, 2022)</t>
  </si>
  <si>
    <t>• Cash App includes the financial tools available to individuals within the mobile Cash App, including peer-to-peer payments, bitcoin and stock investments. Cash App also includes Cash App Card which is linked to customer stored balances that customers can use to pay for purchases or withdraw funds from an ATM. Cash App also includes the BNPL platform.</t>
  </si>
  <si>
    <t>Square includes managed payment services, software solutions, hardware, and financial services offered to sellers, excluding those that involve Cash App.</t>
  </si>
  <si>
    <t>Corporate and Other</t>
  </si>
  <si>
    <t>Gross Profit Margin</t>
  </si>
  <si>
    <t>Average Growth Rate</t>
  </si>
  <si>
    <t>Forecasted Free Cash Flow</t>
  </si>
  <si>
    <t>PV of FFCF</t>
  </si>
  <si>
    <t>Enterprise Value</t>
  </si>
  <si>
    <t>EV/E</t>
  </si>
  <si>
    <t>Ratios:</t>
  </si>
  <si>
    <t>Perpetual Growth Rate</t>
  </si>
  <si>
    <t xml:space="preserve"> </t>
  </si>
  <si>
    <t>Sensitivity Analysis</t>
  </si>
  <si>
    <t xml:space="preserve">Assumptions 1 </t>
  </si>
  <si>
    <t>DCF Model</t>
  </si>
  <si>
    <t>What did investors pay for stock?</t>
  </si>
  <si>
    <t>What were their expected returns?</t>
  </si>
  <si>
    <t>Q323</t>
  </si>
  <si>
    <t>Q223</t>
  </si>
  <si>
    <t>Q123</t>
  </si>
  <si>
    <t>Q322</t>
  </si>
  <si>
    <t>Q222</t>
  </si>
  <si>
    <t>Q122</t>
  </si>
  <si>
    <t>Pre-tax income</t>
  </si>
  <si>
    <t xml:space="preserve">Price </t>
  </si>
  <si>
    <t>DCF</t>
  </si>
  <si>
    <t>Q126</t>
  </si>
  <si>
    <t>Q226</t>
  </si>
  <si>
    <t>Q326</t>
  </si>
  <si>
    <t>Q127</t>
  </si>
  <si>
    <t>TV</t>
  </si>
  <si>
    <t>Growth Rate</t>
  </si>
  <si>
    <t>Perpetuity Growth Rate</t>
  </si>
  <si>
    <t>Q3225</t>
  </si>
  <si>
    <t>Q4225</t>
  </si>
  <si>
    <t>Q426</t>
  </si>
  <si>
    <t>Q227</t>
  </si>
  <si>
    <t>Q327</t>
  </si>
  <si>
    <t>Q427</t>
  </si>
  <si>
    <t>Q128</t>
  </si>
  <si>
    <t>Q228</t>
  </si>
  <si>
    <t>Q328</t>
  </si>
  <si>
    <t>Q428</t>
  </si>
  <si>
    <t>Quarterly WACC</t>
  </si>
  <si>
    <t>Historicals</t>
  </si>
  <si>
    <t>Forecast</t>
  </si>
  <si>
    <t>COGS Margin (Percentage of Revenue)</t>
  </si>
  <si>
    <t>Best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</si>
</sst>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F&quot;Y&quot;yy"/>
    <numFmt numFmtId="165" formatCode="#,##0.0"/>
    <numFmt numFmtId="166" formatCode="0.0"/>
  </numFmts>
  <fonts count="47" x14ac:knownFonts="1">
    <font>
      <sz val="12"/>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9"/>
      <color rgb="FF000000"/>
      <name val="Tahoma"/>
      <family val="2"/>
    </font>
    <font>
      <sz val="9"/>
      <color rgb="FF000000"/>
      <name val="Tahoma"/>
      <family val="2"/>
    </font>
    <font>
      <b/>
      <sz val="12"/>
      <color rgb="FF000000"/>
      <name val="Calibri"/>
      <family val="2"/>
      <scheme val="minor"/>
    </font>
    <font>
      <sz val="12"/>
      <color rgb="FF0070C0"/>
      <name val="Calibri"/>
      <family val="2"/>
      <scheme val="minor"/>
    </font>
    <font>
      <sz val="9"/>
      <color indexed="81"/>
      <name val="Tahoma"/>
      <family val="2"/>
    </font>
    <font>
      <b/>
      <sz val="9"/>
      <color indexed="81"/>
      <name val="Tahoma"/>
      <family val="2"/>
    </font>
    <font>
      <i/>
      <sz val="12"/>
      <color theme="1"/>
      <name val="Calibri"/>
      <family val="2"/>
      <scheme val="minor"/>
    </font>
    <font>
      <b/>
      <sz val="12"/>
      <color rgb="FF0070C0"/>
      <name val="Calibri"/>
      <family val="2"/>
      <scheme val="minor"/>
    </font>
    <font>
      <i/>
      <sz val="12"/>
      <color rgb="FF0070C0"/>
      <name val="Calibri"/>
      <family val="2"/>
      <scheme val="minor"/>
    </font>
    <font>
      <u/>
      <sz val="12"/>
      <color theme="1"/>
      <name val="Calibri"/>
      <family val="2"/>
      <scheme val="minor"/>
    </font>
    <font>
      <b/>
      <i/>
      <sz val="12"/>
      <color theme="1"/>
      <name val="Calibri"/>
      <family val="2"/>
      <scheme val="minor"/>
    </font>
    <font>
      <b/>
      <sz val="30"/>
      <color theme="0"/>
      <name val="Calibri"/>
      <family val="2"/>
      <scheme val="minor"/>
    </font>
    <font>
      <sz val="24"/>
      <color theme="0"/>
      <name val="Calibri"/>
      <family val="2"/>
      <scheme val="minor"/>
    </font>
    <font>
      <b/>
      <sz val="12"/>
      <color theme="1" tint="0.14999847407452621"/>
      <name val="Calibri"/>
      <family val="2"/>
      <scheme val="minor"/>
    </font>
    <font>
      <b/>
      <sz val="18"/>
      <color theme="1" tint="0.14999847407452621"/>
      <name val="Calibri"/>
      <family val="2"/>
      <scheme val="minor"/>
    </font>
    <font>
      <sz val="12"/>
      <color theme="1" tint="0.14999847407452621"/>
      <name val="Calibri"/>
      <family val="2"/>
      <scheme val="minor"/>
    </font>
    <font>
      <i/>
      <sz val="12"/>
      <color theme="5"/>
      <name val="Calibri"/>
      <family val="2"/>
      <scheme val="minor"/>
    </font>
    <font>
      <sz val="10"/>
      <color rgb="FF000000"/>
      <name val="Calibri"/>
      <family val="2"/>
      <scheme val="minor"/>
    </font>
    <font>
      <b/>
      <sz val="11"/>
      <color theme="1"/>
      <name val="Calibri"/>
      <family val="2"/>
      <scheme val="minor"/>
    </font>
    <font>
      <sz val="12"/>
      <name val="Calibri"/>
      <family val="2"/>
      <scheme val="minor"/>
    </font>
    <font>
      <i/>
      <sz val="12"/>
      <name val="Calibri"/>
      <family val="2"/>
      <scheme val="minor"/>
    </font>
    <font>
      <b/>
      <i/>
      <sz val="11"/>
      <color theme="1"/>
      <name val="Calibri"/>
      <family val="2"/>
      <scheme val="minor"/>
    </font>
    <font>
      <b/>
      <sz val="14"/>
      <color theme="1"/>
      <name val="Calibri"/>
      <family val="2"/>
      <scheme val="minor"/>
    </font>
    <font>
      <sz val="12"/>
      <color rgb="FF001D35"/>
      <name val="Arial"/>
      <family val="2"/>
    </font>
    <font>
      <sz val="12"/>
      <color rgb="FF001D35"/>
      <name val="Arial"/>
      <family val="2"/>
    </font>
    <font>
      <sz val="12"/>
      <color theme="5"/>
      <name val="Calibri"/>
      <family val="2"/>
      <scheme val="minor"/>
    </font>
    <font>
      <sz val="12"/>
      <color theme="4"/>
      <name val="Calibri"/>
      <family val="2"/>
      <scheme val="minor"/>
    </font>
    <font>
      <b/>
      <sz val="12"/>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34998626667073579"/>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s>
  <cellStyleXfs count="45">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36" fillId="0" borderId="0"/>
  </cellStyleXfs>
  <cellXfs count="126">
    <xf numFmtId="0" fontId="0" fillId="0" borderId="0" xfId="0"/>
    <xf numFmtId="0" fontId="17" fillId="0" borderId="0" xfId="0" applyFont="1"/>
    <xf numFmtId="0" fontId="17" fillId="0" borderId="10" xfId="0" applyFont="1" applyBorder="1"/>
    <xf numFmtId="3" fontId="0" fillId="0" borderId="0" xfId="0" applyNumberFormat="1"/>
    <xf numFmtId="3" fontId="22" fillId="0" borderId="0" xfId="0" applyNumberFormat="1" applyFont="1"/>
    <xf numFmtId="0" fontId="22" fillId="0" borderId="0" xfId="0" applyFont="1"/>
    <xf numFmtId="37" fontId="22" fillId="0" borderId="0" xfId="0" applyNumberFormat="1" applyFont="1"/>
    <xf numFmtId="0" fontId="0" fillId="0" borderId="0" xfId="0" applyAlignment="1">
      <alignment horizontal="left" indent="1"/>
    </xf>
    <xf numFmtId="164" fontId="17" fillId="0" borderId="0" xfId="0" applyNumberFormat="1" applyFont="1"/>
    <xf numFmtId="0" fontId="17" fillId="0" borderId="0" xfId="0" applyFont="1" applyAlignment="1">
      <alignment horizontal="left"/>
    </xf>
    <xf numFmtId="3" fontId="17" fillId="0" borderId="10" xfId="0" applyNumberFormat="1" applyFont="1" applyBorder="1"/>
    <xf numFmtId="37" fontId="17" fillId="0" borderId="0" xfId="0" applyNumberFormat="1" applyFont="1"/>
    <xf numFmtId="37" fontId="17" fillId="0" borderId="10" xfId="0" applyNumberFormat="1" applyFont="1" applyBorder="1"/>
    <xf numFmtId="0" fontId="21" fillId="0" borderId="10" xfId="0" applyFont="1" applyBorder="1"/>
    <xf numFmtId="3" fontId="17" fillId="0" borderId="0" xfId="0" applyNumberFormat="1" applyFont="1"/>
    <xf numFmtId="0" fontId="25" fillId="0" borderId="0" xfId="0" applyFont="1"/>
    <xf numFmtId="0" fontId="17" fillId="0" borderId="0" xfId="0" applyFont="1" applyAlignment="1">
      <alignment horizontal="left" indent="1"/>
    </xf>
    <xf numFmtId="0" fontId="17" fillId="0" borderId="10" xfId="0" applyFont="1" applyBorder="1" applyAlignment="1">
      <alignment horizontal="left" indent="1"/>
    </xf>
    <xf numFmtId="9" fontId="0" fillId="0" borderId="0" xfId="43" applyFont="1"/>
    <xf numFmtId="10" fontId="0" fillId="0" borderId="0" xfId="43" applyNumberFormat="1" applyFont="1"/>
    <xf numFmtId="0" fontId="0" fillId="0" borderId="10" xfId="0" applyBorder="1"/>
    <xf numFmtId="0" fontId="0" fillId="0" borderId="0" xfId="0" applyAlignment="1">
      <alignment horizontal="left"/>
    </xf>
    <xf numFmtId="37" fontId="0" fillId="0" borderId="0" xfId="0" applyNumberFormat="1"/>
    <xf numFmtId="0" fontId="0" fillId="0" borderId="0" xfId="0" applyAlignment="1">
      <alignment horizontal="left" indent="2"/>
    </xf>
    <xf numFmtId="4" fontId="0" fillId="0" borderId="0" xfId="0" applyNumberFormat="1"/>
    <xf numFmtId="0" fontId="17" fillId="0" borderId="0" xfId="0" applyFont="1" applyAlignment="1">
      <alignment horizontal="center"/>
    </xf>
    <xf numFmtId="44" fontId="17" fillId="0" borderId="0" xfId="42" applyFont="1" applyAlignment="1">
      <alignment horizontal="center"/>
    </xf>
    <xf numFmtId="37" fontId="26" fillId="0" borderId="0" xfId="0" applyNumberFormat="1" applyFont="1"/>
    <xf numFmtId="37" fontId="27" fillId="0" borderId="0" xfId="0" applyNumberFormat="1" applyFont="1"/>
    <xf numFmtId="3" fontId="17" fillId="0" borderId="0" xfId="0" applyNumberFormat="1" applyFont="1" applyAlignment="1">
      <alignment horizontal="right"/>
    </xf>
    <xf numFmtId="0" fontId="25" fillId="0" borderId="0" xfId="0" applyFont="1" applyAlignment="1">
      <alignment horizontal="left"/>
    </xf>
    <xf numFmtId="0" fontId="0" fillId="0" borderId="0" xfId="0" applyAlignment="1">
      <alignment horizontal="left" wrapText="1" indent="1"/>
    </xf>
    <xf numFmtId="0" fontId="0" fillId="0" borderId="0" xfId="0" applyAlignment="1">
      <alignment horizontal="left" indent="3"/>
    </xf>
    <xf numFmtId="0" fontId="0" fillId="0" borderId="0" xfId="0" applyAlignment="1">
      <alignment wrapText="1"/>
    </xf>
    <xf numFmtId="0" fontId="29" fillId="0" borderId="0" xfId="0" applyFont="1" applyAlignment="1">
      <alignment horizontal="left"/>
    </xf>
    <xf numFmtId="0" fontId="29" fillId="0" borderId="0" xfId="0" applyFont="1"/>
    <xf numFmtId="0" fontId="18" fillId="33" borderId="0" xfId="0" applyFont="1" applyFill="1"/>
    <xf numFmtId="0" fontId="18" fillId="0" borderId="0" xfId="0" applyFont="1"/>
    <xf numFmtId="0" fontId="30" fillId="33" borderId="0" xfId="0" applyFont="1" applyFill="1" applyAlignment="1">
      <alignment vertical="center"/>
    </xf>
    <xf numFmtId="0" fontId="30" fillId="0" borderId="0" xfId="0" applyFont="1" applyAlignment="1">
      <alignment vertical="center"/>
    </xf>
    <xf numFmtId="164" fontId="14" fillId="34" borderId="0" xfId="0" applyNumberFormat="1" applyFont="1" applyFill="1"/>
    <xf numFmtId="164" fontId="33" fillId="34" borderId="0" xfId="0" applyNumberFormat="1" applyFont="1" applyFill="1"/>
    <xf numFmtId="164" fontId="32" fillId="0" borderId="11" xfId="0" applyNumberFormat="1" applyFont="1" applyBorder="1"/>
    <xf numFmtId="0" fontId="25" fillId="0" borderId="0" xfId="0" applyFont="1" applyAlignment="1">
      <alignment horizontal="left" indent="1"/>
    </xf>
    <xf numFmtId="9" fontId="0" fillId="0" borderId="0" xfId="0" applyNumberFormat="1"/>
    <xf numFmtId="0" fontId="0" fillId="0" borderId="0" xfId="0" applyAlignment="1">
      <alignment horizontal="right" indent="1"/>
    </xf>
    <xf numFmtId="2" fontId="0" fillId="0" borderId="0" xfId="43" applyNumberFormat="1" applyFont="1"/>
    <xf numFmtId="2" fontId="0" fillId="0" borderId="0" xfId="0" applyNumberFormat="1"/>
    <xf numFmtId="3" fontId="34" fillId="0" borderId="0" xfId="0" applyNumberFormat="1" applyFont="1"/>
    <xf numFmtId="9" fontId="22" fillId="0" borderId="0" xfId="0" applyNumberFormat="1" applyFont="1"/>
    <xf numFmtId="165" fontId="22" fillId="0" borderId="0" xfId="0" applyNumberFormat="1" applyFont="1"/>
    <xf numFmtId="4" fontId="22" fillId="0" borderId="0" xfId="0" applyNumberFormat="1" applyFont="1"/>
    <xf numFmtId="0" fontId="35" fillId="0" borderId="0" xfId="0" applyFont="1" applyAlignment="1">
      <alignment wrapText="1"/>
    </xf>
    <xf numFmtId="9" fontId="22" fillId="0" borderId="0" xfId="43" applyFont="1"/>
    <xf numFmtId="164" fontId="32" fillId="0" borderId="0" xfId="0" applyNumberFormat="1" applyFont="1"/>
    <xf numFmtId="37" fontId="38" fillId="0" borderId="0" xfId="0" applyNumberFormat="1" applyFont="1"/>
    <xf numFmtId="37" fontId="39" fillId="0" borderId="0" xfId="0" applyNumberFormat="1" applyFont="1"/>
    <xf numFmtId="14" fontId="0" fillId="0" borderId="0" xfId="0" applyNumberFormat="1" applyAlignment="1">
      <alignment horizontal="right" indent="1"/>
    </xf>
    <xf numFmtId="14" fontId="25" fillId="0" borderId="0" xfId="0" applyNumberFormat="1" applyFont="1" applyAlignment="1">
      <alignment horizontal="right" indent="1"/>
    </xf>
    <xf numFmtId="1" fontId="0" fillId="0" borderId="0" xfId="0" applyNumberFormat="1"/>
    <xf numFmtId="0" fontId="0" fillId="36" borderId="0" xfId="0" applyFill="1"/>
    <xf numFmtId="0" fontId="40" fillId="36" borderId="0" xfId="0" applyFont="1" applyFill="1"/>
    <xf numFmtId="0" fontId="40" fillId="0" borderId="0" xfId="0" applyFont="1"/>
    <xf numFmtId="0" fontId="37" fillId="0" borderId="10" xfId="0" applyFont="1" applyBorder="1"/>
    <xf numFmtId="0" fontId="37" fillId="0" borderId="0" xfId="0" applyFont="1"/>
    <xf numFmtId="0" fontId="37" fillId="0" borderId="10" xfId="0" applyFont="1" applyBorder="1" applyAlignment="1">
      <alignment horizontal="left" indent="1"/>
    </xf>
    <xf numFmtId="0" fontId="37" fillId="36" borderId="0" xfId="0" applyFont="1" applyFill="1"/>
    <xf numFmtId="166" fontId="0" fillId="0" borderId="0" xfId="0" applyNumberFormat="1"/>
    <xf numFmtId="44" fontId="0" fillId="0" borderId="0" xfId="42" applyFont="1"/>
    <xf numFmtId="39" fontId="0" fillId="0" borderId="0" xfId="0" applyNumberFormat="1"/>
    <xf numFmtId="0" fontId="0" fillId="37" borderId="0" xfId="0" applyFill="1" applyAlignment="1">
      <alignment wrapText="1"/>
    </xf>
    <xf numFmtId="0" fontId="41" fillId="0" borderId="0" xfId="0" applyFont="1"/>
    <xf numFmtId="0" fontId="42" fillId="0" borderId="0" xfId="0" applyFont="1"/>
    <xf numFmtId="0" fontId="43" fillId="0" borderId="0" xfId="0" applyFont="1"/>
    <xf numFmtId="0" fontId="44" fillId="0" borderId="0" xfId="0" applyFont="1" applyAlignment="1">
      <alignment wrapText="1"/>
    </xf>
    <xf numFmtId="10" fontId="17" fillId="0" borderId="0" xfId="43" applyNumberFormat="1" applyFont="1"/>
    <xf numFmtId="0" fontId="45" fillId="0" borderId="0" xfId="0" applyFont="1"/>
    <xf numFmtId="44" fontId="0" fillId="0" borderId="0" xfId="0" applyNumberFormat="1"/>
    <xf numFmtId="0" fontId="0" fillId="0" borderId="0" xfId="0" applyAlignment="1">
      <alignment horizontal="center" vertical="center" wrapText="1"/>
    </xf>
    <xf numFmtId="0" fontId="0" fillId="0" borderId="0" xfId="0" applyAlignment="1">
      <alignment horizontal="left" vertical="center" wrapText="1" indent="1"/>
    </xf>
    <xf numFmtId="0" fontId="0" fillId="0" borderId="0" xfId="0" applyAlignment="1">
      <alignment horizontal="center" vertical="center"/>
    </xf>
    <xf numFmtId="0" fontId="17" fillId="35" borderId="0" xfId="0" applyFont="1" applyFill="1"/>
    <xf numFmtId="37" fontId="0" fillId="0" borderId="0" xfId="42" applyNumberFormat="1" applyFont="1"/>
    <xf numFmtId="37" fontId="17" fillId="0" borderId="10" xfId="42" applyNumberFormat="1" applyFont="1" applyBorder="1"/>
    <xf numFmtId="37" fontId="0" fillId="0" borderId="10" xfId="42" applyNumberFormat="1" applyFont="1" applyBorder="1"/>
    <xf numFmtId="9" fontId="37" fillId="0" borderId="10" xfId="43" applyFont="1" applyBorder="1" applyAlignment="1">
      <alignment horizontal="right"/>
    </xf>
    <xf numFmtId="10" fontId="0" fillId="0" borderId="0" xfId="43" applyNumberFormat="1" applyFont="1" applyBorder="1"/>
    <xf numFmtId="9" fontId="0" fillId="0" borderId="0" xfId="43" applyFont="1" applyBorder="1"/>
    <xf numFmtId="9" fontId="22" fillId="0" borderId="0" xfId="43" applyFont="1" applyBorder="1"/>
    <xf numFmtId="10" fontId="22" fillId="0" borderId="0" xfId="43" applyNumberFormat="1" applyFont="1"/>
    <xf numFmtId="9" fontId="0" fillId="0" borderId="0" xfId="43" applyFont="1" applyFill="1" applyBorder="1"/>
    <xf numFmtId="8" fontId="0" fillId="0" borderId="0" xfId="0" applyNumberFormat="1"/>
    <xf numFmtId="0" fontId="0" fillId="0" borderId="0" xfId="0" applyAlignment="1">
      <alignment horizontal="center"/>
    </xf>
    <xf numFmtId="0" fontId="0" fillId="0" borderId="0" xfId="0" applyAlignment="1">
      <alignment vertical="center"/>
    </xf>
    <xf numFmtId="9" fontId="37" fillId="0" borderId="0" xfId="43" applyFont="1"/>
    <xf numFmtId="164" fontId="0" fillId="36" borderId="0" xfId="0" applyNumberFormat="1" applyFill="1" applyAlignment="1">
      <alignment horizontal="center"/>
    </xf>
    <xf numFmtId="164" fontId="0" fillId="36" borderId="0" xfId="0" applyNumberFormat="1" applyFill="1" applyAlignment="1">
      <alignment horizontal="center" vertical="center"/>
    </xf>
    <xf numFmtId="37" fontId="37" fillId="0" borderId="0" xfId="0" applyNumberFormat="1" applyFont="1"/>
    <xf numFmtId="39" fontId="0" fillId="0" borderId="0" xfId="42" applyNumberFormat="1" applyFont="1"/>
    <xf numFmtId="4" fontId="17" fillId="0" borderId="0" xfId="0" applyNumberFormat="1" applyFont="1" applyAlignment="1">
      <alignment horizontal="right"/>
    </xf>
    <xf numFmtId="0" fontId="37" fillId="0" borderId="10" xfId="0" applyFont="1" applyBorder="1" applyAlignment="1">
      <alignment horizontal="left"/>
    </xf>
    <xf numFmtId="0" fontId="1" fillId="0" borderId="0" xfId="0" applyFont="1"/>
    <xf numFmtId="14" fontId="0" fillId="0" borderId="0" xfId="0" applyNumberFormat="1"/>
    <xf numFmtId="37" fontId="46" fillId="0" borderId="0" xfId="0" applyNumberFormat="1" applyFont="1"/>
    <xf numFmtId="37" fontId="21" fillId="0" borderId="10" xfId="0" applyNumberFormat="1" applyFont="1" applyBorder="1"/>
    <xf numFmtId="9" fontId="0" fillId="0" borderId="0" xfId="43" applyFont="1" applyAlignment="1">
      <alignment horizontal="right"/>
    </xf>
    <xf numFmtId="0" fontId="31" fillId="33" borderId="0" xfId="0" applyFont="1" applyFill="1" applyAlignment="1">
      <alignment horizontal="center" vertical="center"/>
    </xf>
    <xf numFmtId="0" fontId="0" fillId="0" borderId="0" xfId="0" applyAlignment="1">
      <alignment horizontal="center" vertical="center" wrapText="1"/>
    </xf>
    <xf numFmtId="0" fontId="0" fillId="0" borderId="0" xfId="0" applyBorder="1"/>
    <xf numFmtId="0" fontId="0" fillId="0" borderId="0" xfId="0" applyBorder="1" applyAlignment="1">
      <alignment horizontal="right" indent="1"/>
    </xf>
    <xf numFmtId="9" fontId="22" fillId="0" borderId="0" xfId="0" applyNumberFormat="1" applyFont="1" applyBorder="1"/>
    <xf numFmtId="164" fontId="32" fillId="0" borderId="0" xfId="0" applyNumberFormat="1" applyFont="1" applyBorder="1"/>
    <xf numFmtId="164" fontId="14" fillId="0" borderId="0" xfId="0" applyNumberFormat="1" applyFont="1" applyFill="1" applyBorder="1"/>
    <xf numFmtId="164" fontId="32" fillId="0" borderId="0" xfId="0" applyNumberFormat="1" applyFont="1" applyFill="1" applyBorder="1"/>
    <xf numFmtId="0" fontId="17" fillId="0" borderId="11" xfId="0" applyFont="1" applyBorder="1" applyAlignment="1">
      <alignment horizontal="left"/>
    </xf>
    <xf numFmtId="0" fontId="17" fillId="0" borderId="11" xfId="0" applyFont="1" applyBorder="1" applyAlignment="1">
      <alignment horizontal="left" indent="1"/>
    </xf>
    <xf numFmtId="0" fontId="0" fillId="0" borderId="11" xfId="0" applyBorder="1"/>
    <xf numFmtId="164" fontId="14" fillId="0" borderId="0" xfId="0" applyNumberFormat="1" applyFont="1" applyFill="1"/>
    <xf numFmtId="37" fontId="0" fillId="0" borderId="0" xfId="0" applyNumberFormat="1" applyFill="1" applyBorder="1"/>
    <xf numFmtId="37" fontId="38" fillId="0" borderId="0" xfId="0" applyNumberFormat="1" applyFont="1" applyFill="1" applyBorder="1"/>
    <xf numFmtId="37" fontId="17" fillId="0" borderId="0" xfId="0" applyNumberFormat="1" applyFont="1" applyFill="1" applyBorder="1"/>
    <xf numFmtId="0" fontId="0" fillId="0" borderId="0" xfId="0" applyFill="1" applyBorder="1"/>
    <xf numFmtId="1" fontId="0" fillId="0" borderId="0" xfId="0" applyNumberFormat="1" applyFill="1" applyBorder="1"/>
    <xf numFmtId="0" fontId="30" fillId="33" borderId="0" xfId="0" applyFont="1" applyFill="1" applyAlignment="1">
      <alignment horizontal="center" vertical="center"/>
    </xf>
    <xf numFmtId="164" fontId="14" fillId="33" borderId="0" xfId="0" applyNumberFormat="1" applyFont="1" applyFill="1" applyAlignment="1">
      <alignment horizontal="center"/>
    </xf>
    <xf numFmtId="164" fontId="14" fillId="38" borderId="0" xfId="0" applyNumberFormat="1" applyFont="1" applyFill="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9A890021-6782-4238-B5F8-3E460D20719E}"/>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B6BA6-20D0-4686-B473-FFD3760BC4F3}">
  <dimension ref="B2:O175"/>
  <sheetViews>
    <sheetView zoomScale="75" zoomScaleNormal="70" workbookViewId="0">
      <selection activeCell="D7" sqref="D7"/>
    </sheetView>
  </sheetViews>
  <sheetFormatPr defaultColWidth="8.875" defaultRowHeight="15.75" x14ac:dyDescent="0.25"/>
  <cols>
    <col min="2" max="2" width="22.875" customWidth="1"/>
    <col min="3" max="3" width="49.5" customWidth="1"/>
    <col min="4" max="4" width="28.875" customWidth="1"/>
    <col min="5" max="5" width="54.625" customWidth="1"/>
    <col min="6" max="6" width="46.125" bestFit="1" customWidth="1"/>
    <col min="7" max="7" width="46.125" customWidth="1"/>
    <col min="8" max="8" width="31.875" customWidth="1"/>
  </cols>
  <sheetData>
    <row r="2" spans="2:15" ht="39" x14ac:dyDescent="0.25">
      <c r="B2" s="38" t="s">
        <v>349</v>
      </c>
      <c r="C2" s="38"/>
      <c r="D2" s="38"/>
      <c r="E2" s="38"/>
      <c r="F2" s="38"/>
      <c r="G2" s="38"/>
      <c r="H2" s="38"/>
      <c r="I2" s="38"/>
      <c r="J2" s="36"/>
      <c r="K2" s="36"/>
      <c r="L2" s="106" t="s">
        <v>350</v>
      </c>
      <c r="M2" s="106"/>
      <c r="N2" s="106"/>
      <c r="O2" s="106"/>
    </row>
    <row r="4" spans="2:15" ht="68.25" customHeight="1" x14ac:dyDescent="0.25">
      <c r="B4" s="93"/>
      <c r="C4" s="107" t="s">
        <v>446</v>
      </c>
      <c r="D4" s="107"/>
      <c r="E4" s="107"/>
      <c r="F4" s="107"/>
      <c r="G4" s="107"/>
      <c r="H4" s="107"/>
      <c r="I4" s="107"/>
      <c r="J4" s="107"/>
      <c r="K4" s="107"/>
      <c r="L4" s="107"/>
      <c r="M4" s="107"/>
      <c r="N4" s="107"/>
      <c r="O4" s="107"/>
    </row>
    <row r="6" spans="2:15" x14ac:dyDescent="0.25">
      <c r="C6" t="s">
        <v>399</v>
      </c>
      <c r="D6" s="76">
        <v>65.09</v>
      </c>
      <c r="E6" s="102">
        <v>46023</v>
      </c>
    </row>
    <row r="7" spans="2:15" x14ac:dyDescent="0.25">
      <c r="C7" t="s">
        <v>402</v>
      </c>
      <c r="D7" s="3">
        <f>559431000+60049000</f>
        <v>619480000</v>
      </c>
    </row>
    <row r="8" spans="2:15" x14ac:dyDescent="0.25">
      <c r="C8" t="s">
        <v>403</v>
      </c>
      <c r="D8" s="68">
        <f>D6*D7</f>
        <v>40321953200</v>
      </c>
    </row>
    <row r="9" spans="2:15" x14ac:dyDescent="0.25">
      <c r="C9" t="s">
        <v>394</v>
      </c>
      <c r="D9" s="6">
        <v>8075247000</v>
      </c>
    </row>
    <row r="10" spans="2:15" x14ac:dyDescent="0.25">
      <c r="C10" t="s">
        <v>393</v>
      </c>
      <c r="D10" s="6">
        <f>('BLOCK INC. 3-statement mod'!Q94+'BLOCK INC. 3-statement mod'!Q89)*1000</f>
        <v>6105436000</v>
      </c>
    </row>
    <row r="11" spans="2:15" x14ac:dyDescent="0.25">
      <c r="C11" t="s">
        <v>444</v>
      </c>
      <c r="D11" s="77">
        <f>D9+D8-D10</f>
        <v>42291764200</v>
      </c>
    </row>
    <row r="12" spans="2:15" x14ac:dyDescent="0.25">
      <c r="C12" s="76"/>
    </row>
    <row r="13" spans="2:15" x14ac:dyDescent="0.25">
      <c r="C13" s="3"/>
    </row>
    <row r="14" spans="2:15" x14ac:dyDescent="0.25">
      <c r="C14" s="68"/>
    </row>
    <row r="15" spans="2:15" x14ac:dyDescent="0.25">
      <c r="C15" s="6"/>
    </row>
    <row r="16" spans="2:15" x14ac:dyDescent="0.25">
      <c r="C16" s="6"/>
    </row>
    <row r="17" spans="2:6" x14ac:dyDescent="0.25">
      <c r="C17" s="77"/>
    </row>
    <row r="19" spans="2:6" x14ac:dyDescent="0.25">
      <c r="E19" s="1"/>
    </row>
    <row r="20" spans="2:6" x14ac:dyDescent="0.25">
      <c r="E20" s="1"/>
    </row>
    <row r="21" spans="2:6" x14ac:dyDescent="0.25">
      <c r="B21" s="1" t="s">
        <v>294</v>
      </c>
      <c r="C21" s="11" t="s">
        <v>295</v>
      </c>
      <c r="F21" s="11"/>
    </row>
    <row r="22" spans="2:6" x14ac:dyDescent="0.25">
      <c r="B22" t="s">
        <v>252</v>
      </c>
      <c r="C22" t="s">
        <v>445</v>
      </c>
    </row>
    <row r="23" spans="2:6" x14ac:dyDescent="0.25">
      <c r="B23" t="s">
        <v>253</v>
      </c>
      <c r="C23" t="s">
        <v>301</v>
      </c>
    </row>
    <row r="24" spans="2:6" x14ac:dyDescent="0.25">
      <c r="B24" t="s">
        <v>254</v>
      </c>
      <c r="C24" t="s">
        <v>296</v>
      </c>
    </row>
    <row r="25" spans="2:6" x14ac:dyDescent="0.25">
      <c r="B25" t="s">
        <v>255</v>
      </c>
      <c r="C25" t="s">
        <v>448</v>
      </c>
    </row>
    <row r="26" spans="2:6" x14ac:dyDescent="0.25">
      <c r="B26" t="s">
        <v>447</v>
      </c>
      <c r="C26" t="s">
        <v>299</v>
      </c>
    </row>
    <row r="27" spans="2:6" x14ac:dyDescent="0.25">
      <c r="B27" t="s">
        <v>257</v>
      </c>
      <c r="C27" t="s">
        <v>298</v>
      </c>
    </row>
    <row r="31" spans="2:6" x14ac:dyDescent="0.25">
      <c r="B31" s="1" t="s">
        <v>0</v>
      </c>
    </row>
    <row r="32" spans="2:6" x14ac:dyDescent="0.25">
      <c r="B32" s="1"/>
    </row>
    <row r="33" spans="2:6" x14ac:dyDescent="0.25">
      <c r="B33" s="15" t="s">
        <v>303</v>
      </c>
      <c r="E33" s="1"/>
    </row>
    <row r="34" spans="2:6" x14ac:dyDescent="0.25">
      <c r="B34" t="s">
        <v>370</v>
      </c>
    </row>
    <row r="35" spans="2:6" x14ac:dyDescent="0.25">
      <c r="B35" t="s">
        <v>259</v>
      </c>
    </row>
    <row r="36" spans="2:6" x14ac:dyDescent="0.25">
      <c r="B36" t="s">
        <v>304</v>
      </c>
    </row>
    <row r="37" spans="2:6" x14ac:dyDescent="0.25">
      <c r="B37" t="s">
        <v>261</v>
      </c>
    </row>
    <row r="40" spans="2:6" x14ac:dyDescent="0.25">
      <c r="B40" s="15" t="s">
        <v>275</v>
      </c>
      <c r="E40" s="1"/>
    </row>
    <row r="41" spans="2:6" x14ac:dyDescent="0.25">
      <c r="B41" t="s">
        <v>262</v>
      </c>
      <c r="E41" s="1"/>
    </row>
    <row r="42" spans="2:6" x14ac:dyDescent="0.25">
      <c r="B42" t="s">
        <v>263</v>
      </c>
    </row>
    <row r="43" spans="2:6" ht="189" x14ac:dyDescent="0.25">
      <c r="B43" s="79" t="s">
        <v>264</v>
      </c>
      <c r="C43" s="78" t="s">
        <v>305</v>
      </c>
      <c r="D43" s="78" t="s">
        <v>306</v>
      </c>
      <c r="E43" s="78" t="s">
        <v>265</v>
      </c>
      <c r="F43" s="78" t="s">
        <v>456</v>
      </c>
    </row>
    <row r="46" spans="2:6" s="15" customFormat="1" x14ac:dyDescent="0.25">
      <c r="B46" s="30" t="s">
        <v>307</v>
      </c>
      <c r="E46" s="30"/>
    </row>
    <row r="47" spans="2:6" s="15" customFormat="1" x14ac:dyDescent="0.25">
      <c r="B47" t="s">
        <v>451</v>
      </c>
      <c r="E47" s="30"/>
    </row>
    <row r="48" spans="2:6" x14ac:dyDescent="0.25">
      <c r="B48" t="s">
        <v>452</v>
      </c>
    </row>
    <row r="49" spans="2:8" x14ac:dyDescent="0.25">
      <c r="B49" t="s">
        <v>450</v>
      </c>
    </row>
    <row r="50" spans="2:8" x14ac:dyDescent="0.25">
      <c r="B50" t="s">
        <v>449</v>
      </c>
    </row>
    <row r="51" spans="2:8" x14ac:dyDescent="0.25">
      <c r="B51" t="s">
        <v>313</v>
      </c>
    </row>
    <row r="53" spans="2:8" x14ac:dyDescent="0.25">
      <c r="B53" s="15" t="s">
        <v>314</v>
      </c>
      <c r="E53" s="1"/>
    </row>
    <row r="54" spans="2:8" x14ac:dyDescent="0.25">
      <c r="B54" t="s">
        <v>454</v>
      </c>
    </row>
    <row r="55" spans="2:8" x14ac:dyDescent="0.25">
      <c r="B55" t="s">
        <v>316</v>
      </c>
    </row>
    <row r="57" spans="2:8" x14ac:dyDescent="0.25">
      <c r="B57" s="15" t="s">
        <v>266</v>
      </c>
      <c r="E57" s="35"/>
    </row>
    <row r="58" spans="2:8" x14ac:dyDescent="0.25">
      <c r="B58" t="s">
        <v>453</v>
      </c>
    </row>
    <row r="59" spans="2:8" ht="126" x14ac:dyDescent="0.25">
      <c r="B59" s="78" t="s">
        <v>455</v>
      </c>
      <c r="C59" s="78" t="s">
        <v>268</v>
      </c>
      <c r="D59" s="80" t="s">
        <v>269</v>
      </c>
      <c r="E59" s="78" t="s">
        <v>270</v>
      </c>
      <c r="F59" s="78" t="s">
        <v>271</v>
      </c>
      <c r="G59" s="78" t="s">
        <v>273</v>
      </c>
      <c r="H59" s="78" t="s">
        <v>274</v>
      </c>
    </row>
    <row r="62" spans="2:8" x14ac:dyDescent="0.25">
      <c r="B62" s="1" t="s">
        <v>280</v>
      </c>
      <c r="E62" s="1"/>
    </row>
    <row r="64" spans="2:8" x14ac:dyDescent="0.25">
      <c r="B64" t="s">
        <v>281</v>
      </c>
    </row>
    <row r="65" spans="2:5" x14ac:dyDescent="0.25">
      <c r="B65" t="s">
        <v>282</v>
      </c>
    </row>
    <row r="66" spans="2:5" x14ac:dyDescent="0.25">
      <c r="B66" t="s">
        <v>283</v>
      </c>
    </row>
    <row r="68" spans="2:5" x14ac:dyDescent="0.25">
      <c r="B68" s="1" t="s">
        <v>284</v>
      </c>
      <c r="E68" s="1"/>
    </row>
    <row r="69" spans="2:5" x14ac:dyDescent="0.25">
      <c r="B69" t="s">
        <v>285</v>
      </c>
    </row>
    <row r="70" spans="2:5" x14ac:dyDescent="0.25">
      <c r="B70" t="s">
        <v>286</v>
      </c>
    </row>
    <row r="71" spans="2:5" x14ac:dyDescent="0.25">
      <c r="B71" s="7" t="s">
        <v>287</v>
      </c>
      <c r="E71" s="7"/>
    </row>
    <row r="72" spans="2:5" x14ac:dyDescent="0.25">
      <c r="B72" s="23" t="s">
        <v>288</v>
      </c>
      <c r="E72" s="23"/>
    </row>
    <row r="75" spans="2:5" x14ac:dyDescent="0.25">
      <c r="B75" s="1" t="s">
        <v>289</v>
      </c>
      <c r="E75" s="1"/>
    </row>
    <row r="76" spans="2:5" x14ac:dyDescent="0.25">
      <c r="B76" t="s">
        <v>457</v>
      </c>
    </row>
    <row r="77" spans="2:5" x14ac:dyDescent="0.25">
      <c r="B77" t="s">
        <v>291</v>
      </c>
    </row>
    <row r="78" spans="2:5" x14ac:dyDescent="0.25">
      <c r="B78" t="s">
        <v>292</v>
      </c>
    </row>
    <row r="79" spans="2:5" x14ac:dyDescent="0.25">
      <c r="B79" t="s">
        <v>293</v>
      </c>
    </row>
    <row r="80" spans="2:5" x14ac:dyDescent="0.25">
      <c r="B80" t="s">
        <v>312</v>
      </c>
      <c r="E80" s="33"/>
    </row>
    <row r="83" spans="2:5" x14ac:dyDescent="0.25">
      <c r="B83" s="1" t="s">
        <v>405</v>
      </c>
      <c r="E83" s="1"/>
    </row>
    <row r="84" spans="2:5" x14ac:dyDescent="0.25">
      <c r="B84" t="s">
        <v>319</v>
      </c>
    </row>
    <row r="85" spans="2:5" ht="71.25" customHeight="1" x14ac:dyDescent="0.25">
      <c r="B85" s="78" t="s">
        <v>371</v>
      </c>
      <c r="E85" s="23"/>
    </row>
    <row r="86" spans="2:5" ht="189" x14ac:dyDescent="0.25">
      <c r="B86" s="78" t="s">
        <v>321</v>
      </c>
    </row>
    <row r="87" spans="2:5" ht="94.5" x14ac:dyDescent="0.25">
      <c r="B87" s="78" t="s">
        <v>322</v>
      </c>
    </row>
    <row r="90" spans="2:5" x14ac:dyDescent="0.25">
      <c r="E90" s="7"/>
    </row>
    <row r="93" spans="2:5" x14ac:dyDescent="0.25">
      <c r="E93" s="7"/>
    </row>
    <row r="96" spans="2:5" x14ac:dyDescent="0.25">
      <c r="E96" s="7"/>
    </row>
    <row r="97" spans="2:5" x14ac:dyDescent="0.25">
      <c r="E97" s="7"/>
    </row>
    <row r="100" spans="2:5" x14ac:dyDescent="0.25">
      <c r="E100" s="23"/>
    </row>
    <row r="101" spans="2:5" x14ac:dyDescent="0.25">
      <c r="B101" s="15"/>
      <c r="E101" s="15"/>
    </row>
    <row r="102" spans="2:5" x14ac:dyDescent="0.25">
      <c r="B102" s="15" t="s">
        <v>318</v>
      </c>
      <c r="E102" s="15"/>
    </row>
    <row r="103" spans="2:5" x14ac:dyDescent="0.25">
      <c r="B103" t="s">
        <v>323</v>
      </c>
    </row>
    <row r="105" spans="2:5" x14ac:dyDescent="0.25">
      <c r="B105" s="1" t="s">
        <v>324</v>
      </c>
      <c r="E105" s="1"/>
    </row>
    <row r="106" spans="2:5" x14ac:dyDescent="0.25">
      <c r="B106" s="35" t="s">
        <v>335</v>
      </c>
      <c r="E106" s="35"/>
    </row>
    <row r="107" spans="2:5" x14ac:dyDescent="0.25">
      <c r="B107" t="s">
        <v>325</v>
      </c>
      <c r="C107" t="s">
        <v>329</v>
      </c>
    </row>
    <row r="108" spans="2:5" x14ac:dyDescent="0.25">
      <c r="B108" t="s">
        <v>326</v>
      </c>
    </row>
    <row r="109" spans="2:5" x14ac:dyDescent="0.25">
      <c r="B109" t="s">
        <v>327</v>
      </c>
    </row>
    <row r="110" spans="2:5" x14ac:dyDescent="0.25">
      <c r="B110" t="s">
        <v>328</v>
      </c>
      <c r="C110" t="s">
        <v>330</v>
      </c>
    </row>
    <row r="112" spans="2:5" x14ac:dyDescent="0.25">
      <c r="B112" s="15" t="s">
        <v>331</v>
      </c>
      <c r="E112" s="15"/>
    </row>
    <row r="113" spans="2:5" x14ac:dyDescent="0.25">
      <c r="B113" t="s">
        <v>332</v>
      </c>
    </row>
    <row r="115" spans="2:5" x14ac:dyDescent="0.25">
      <c r="B115" s="35" t="s">
        <v>334</v>
      </c>
      <c r="E115" s="35"/>
    </row>
    <row r="116" spans="2:5" x14ac:dyDescent="0.25">
      <c r="B116" t="s">
        <v>333</v>
      </c>
    </row>
    <row r="118" spans="2:5" x14ac:dyDescent="0.25">
      <c r="B118" s="1" t="s">
        <v>406</v>
      </c>
      <c r="E118" s="1"/>
    </row>
    <row r="119" spans="2:5" ht="110.25" x14ac:dyDescent="0.25">
      <c r="B119" s="70" t="s">
        <v>407</v>
      </c>
      <c r="E119" s="70"/>
    </row>
    <row r="121" spans="2:5" x14ac:dyDescent="0.25">
      <c r="B121" t="s">
        <v>367</v>
      </c>
    </row>
    <row r="122" spans="2:5" x14ac:dyDescent="0.25">
      <c r="B122" t="s">
        <v>373</v>
      </c>
    </row>
    <row r="123" spans="2:5" x14ac:dyDescent="0.25">
      <c r="B123" t="s">
        <v>368</v>
      </c>
    </row>
    <row r="124" spans="2:5" ht="78.75" x14ac:dyDescent="0.25">
      <c r="B124" s="52" t="s">
        <v>369</v>
      </c>
      <c r="E124" s="52"/>
    </row>
    <row r="125" spans="2:5" x14ac:dyDescent="0.25">
      <c r="B125" s="52"/>
      <c r="E125" s="52"/>
    </row>
    <row r="126" spans="2:5" ht="63" x14ac:dyDescent="0.25">
      <c r="B126" s="33" t="s">
        <v>440</v>
      </c>
      <c r="E126" s="33"/>
    </row>
    <row r="127" spans="2:5" ht="47.25" x14ac:dyDescent="0.25">
      <c r="B127" s="74" t="s">
        <v>441</v>
      </c>
      <c r="E127" s="74"/>
    </row>
    <row r="128" spans="2:5" ht="31.5" x14ac:dyDescent="0.25">
      <c r="B128" s="52" t="s">
        <v>442</v>
      </c>
      <c r="E128" s="52"/>
    </row>
    <row r="129" spans="2:5" x14ac:dyDescent="0.25">
      <c r="B129" s="52"/>
      <c r="E129" s="52"/>
    </row>
    <row r="130" spans="2:5" x14ac:dyDescent="0.25">
      <c r="B130" t="s">
        <v>431</v>
      </c>
      <c r="E130" s="52"/>
    </row>
    <row r="131" spans="2:5" x14ac:dyDescent="0.25">
      <c r="B131" s="7" t="s">
        <v>432</v>
      </c>
      <c r="E131" s="52"/>
    </row>
    <row r="132" spans="2:5" x14ac:dyDescent="0.25">
      <c r="E132" s="52"/>
    </row>
    <row r="133" spans="2:5" x14ac:dyDescent="0.25">
      <c r="B133" t="s">
        <v>433</v>
      </c>
      <c r="E133" s="52"/>
    </row>
    <row r="134" spans="2:5" x14ac:dyDescent="0.25">
      <c r="B134" s="7" t="s">
        <v>434</v>
      </c>
      <c r="E134" s="52"/>
    </row>
    <row r="135" spans="2:5" x14ac:dyDescent="0.25">
      <c r="E135" s="52"/>
    </row>
    <row r="136" spans="2:5" x14ac:dyDescent="0.25">
      <c r="B136" t="s">
        <v>435</v>
      </c>
      <c r="E136" s="52"/>
    </row>
    <row r="137" spans="2:5" x14ac:dyDescent="0.25">
      <c r="B137" s="7" t="s">
        <v>436</v>
      </c>
      <c r="E137" s="52"/>
    </row>
    <row r="138" spans="2:5" x14ac:dyDescent="0.25">
      <c r="B138" s="7" t="s">
        <v>437</v>
      </c>
      <c r="E138" s="52"/>
    </row>
    <row r="139" spans="2:5" x14ac:dyDescent="0.25">
      <c r="E139" s="52"/>
    </row>
    <row r="140" spans="2:5" x14ac:dyDescent="0.25">
      <c r="B140" t="s">
        <v>438</v>
      </c>
      <c r="E140" s="52"/>
    </row>
    <row r="141" spans="2:5" x14ac:dyDescent="0.25">
      <c r="B141" s="23" t="s">
        <v>439</v>
      </c>
      <c r="E141" s="52"/>
    </row>
    <row r="143" spans="2:5" ht="18.75" x14ac:dyDescent="0.3">
      <c r="B143" s="71" t="s">
        <v>374</v>
      </c>
      <c r="E143" s="71"/>
    </row>
    <row r="144" spans="2:5" x14ac:dyDescent="0.25">
      <c r="B144" s="35" t="s">
        <v>253</v>
      </c>
      <c r="E144" s="35"/>
    </row>
    <row r="145" spans="2:5" x14ac:dyDescent="0.25">
      <c r="B145" t="s">
        <v>408</v>
      </c>
    </row>
    <row r="146" spans="2:5" x14ac:dyDescent="0.25">
      <c r="B146" t="s">
        <v>409</v>
      </c>
    </row>
    <row r="147" spans="2:5" x14ac:dyDescent="0.25">
      <c r="B147" t="s">
        <v>410</v>
      </c>
    </row>
    <row r="148" spans="2:5" x14ac:dyDescent="0.25">
      <c r="B148" t="s">
        <v>411</v>
      </c>
    </row>
    <row r="149" spans="2:5" x14ac:dyDescent="0.25">
      <c r="B149" t="s">
        <v>412</v>
      </c>
    </row>
    <row r="150" spans="2:5" x14ac:dyDescent="0.25">
      <c r="B150" t="s">
        <v>414</v>
      </c>
    </row>
    <row r="151" spans="2:5" x14ac:dyDescent="0.25">
      <c r="B151" s="72" t="s">
        <v>413</v>
      </c>
      <c r="E151" s="72"/>
    </row>
    <row r="152" spans="2:5" x14ac:dyDescent="0.25">
      <c r="B152" t="s">
        <v>415</v>
      </c>
    </row>
    <row r="153" spans="2:5" x14ac:dyDescent="0.25">
      <c r="B153" s="73" t="s">
        <v>416</v>
      </c>
      <c r="E153" s="73"/>
    </row>
    <row r="155" spans="2:5" x14ac:dyDescent="0.25">
      <c r="B155" s="1" t="s">
        <v>417</v>
      </c>
      <c r="E155" s="1"/>
    </row>
    <row r="156" spans="2:5" x14ac:dyDescent="0.25">
      <c r="B156" s="35" t="s">
        <v>253</v>
      </c>
      <c r="E156" s="35"/>
    </row>
    <row r="157" spans="2:5" x14ac:dyDescent="0.25">
      <c r="B157" t="s">
        <v>418</v>
      </c>
    </row>
    <row r="158" spans="2:5" x14ac:dyDescent="0.25">
      <c r="B158" t="s">
        <v>419</v>
      </c>
    </row>
    <row r="159" spans="2:5" x14ac:dyDescent="0.25">
      <c r="B159" t="s">
        <v>420</v>
      </c>
    </row>
    <row r="160" spans="2:5" x14ac:dyDescent="0.25">
      <c r="B160" t="s">
        <v>421</v>
      </c>
    </row>
    <row r="161" spans="2:5" x14ac:dyDescent="0.25">
      <c r="B161" t="s">
        <v>422</v>
      </c>
    </row>
    <row r="162" spans="2:5" x14ac:dyDescent="0.25">
      <c r="B162" t="s">
        <v>423</v>
      </c>
    </row>
    <row r="163" spans="2:5" x14ac:dyDescent="0.25">
      <c r="B163" t="s">
        <v>424</v>
      </c>
    </row>
    <row r="164" spans="2:5" x14ac:dyDescent="0.25">
      <c r="B164" t="s">
        <v>425</v>
      </c>
    </row>
    <row r="166" spans="2:5" x14ac:dyDescent="0.25">
      <c r="B166" s="35" t="s">
        <v>426</v>
      </c>
      <c r="E166" s="35"/>
    </row>
    <row r="167" spans="2:5" x14ac:dyDescent="0.25">
      <c r="B167" t="s">
        <v>427</v>
      </c>
    </row>
    <row r="168" spans="2:5" x14ac:dyDescent="0.25">
      <c r="B168" t="s">
        <v>428</v>
      </c>
    </row>
    <row r="169" spans="2:5" x14ac:dyDescent="0.25">
      <c r="B169" t="s">
        <v>429</v>
      </c>
    </row>
    <row r="170" spans="2:5" x14ac:dyDescent="0.25">
      <c r="B170" t="s">
        <v>430</v>
      </c>
    </row>
    <row r="173" spans="2:5" x14ac:dyDescent="0.25">
      <c r="B173" s="1" t="s">
        <v>486</v>
      </c>
    </row>
    <row r="174" spans="2:5" x14ac:dyDescent="0.25">
      <c r="B174" t="s">
        <v>487</v>
      </c>
    </row>
    <row r="175" spans="2:5" x14ac:dyDescent="0.25">
      <c r="B175" t="s">
        <v>488</v>
      </c>
    </row>
  </sheetData>
  <mergeCells count="2">
    <mergeCell ref="L2:O2"/>
    <mergeCell ref="C4:O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301"/>
  <sheetViews>
    <sheetView tabSelected="1" topLeftCell="B1" zoomScale="85" zoomScaleNormal="85" workbookViewId="0">
      <selection activeCell="B35" sqref="B35"/>
    </sheetView>
  </sheetViews>
  <sheetFormatPr defaultColWidth="11" defaultRowHeight="15.75" x14ac:dyDescent="0.25"/>
  <cols>
    <col min="2" max="2" width="90.75" customWidth="1"/>
    <col min="3" max="3" width="11.75" bestFit="1" customWidth="1"/>
    <col min="4" max="4" width="12.25" bestFit="1" customWidth="1"/>
    <col min="5" max="5" width="12.25" customWidth="1"/>
    <col min="6" max="6" width="11.75" bestFit="1" customWidth="1"/>
    <col min="7" max="7" width="12.875" bestFit="1" customWidth="1"/>
    <col min="8" max="11" width="11.625" bestFit="1" customWidth="1"/>
    <col min="12" max="12" width="14.125" bestFit="1" customWidth="1"/>
    <col min="13" max="13" width="14.625" bestFit="1" customWidth="1"/>
    <col min="14" max="14" width="12.125" customWidth="1"/>
    <col min="15" max="15" width="35.625" bestFit="1" customWidth="1"/>
    <col min="16" max="17" width="13" bestFit="1" customWidth="1"/>
    <col min="18" max="18" width="12.5" bestFit="1" customWidth="1"/>
    <col min="19" max="20" width="11" bestFit="1" customWidth="1"/>
    <col min="21" max="21" width="14.125" bestFit="1" customWidth="1"/>
    <col min="22" max="23" width="12" bestFit="1" customWidth="1"/>
    <col min="24" max="24" width="11" bestFit="1" customWidth="1"/>
    <col min="25" max="25" width="12.625" bestFit="1" customWidth="1"/>
    <col min="26" max="27" width="12.125" bestFit="1" customWidth="1"/>
    <col min="28" max="30" width="12" bestFit="1" customWidth="1"/>
    <col min="31" max="31" width="12.875" bestFit="1" customWidth="1"/>
    <col min="32" max="33" width="12" bestFit="1" customWidth="1"/>
    <col min="34" max="34" width="12.875" customWidth="1"/>
    <col min="35" max="35" width="12.5" bestFit="1" customWidth="1"/>
    <col min="36" max="36" width="17.125" bestFit="1" customWidth="1"/>
    <col min="40" max="41" width="12.5" bestFit="1" customWidth="1"/>
    <col min="56" max="56" width="12.5" bestFit="1" customWidth="1"/>
    <col min="80" max="80" width="14.125" bestFit="1" customWidth="1"/>
    <col min="83" max="95" width="14.125" bestFit="1" customWidth="1"/>
    <col min="96" max="111" width="14.625" bestFit="1" customWidth="1"/>
    <col min="112" max="114" width="15.125" bestFit="1" customWidth="1"/>
    <col min="115" max="115" width="15.875" bestFit="1" customWidth="1"/>
    <col min="116" max="116" width="174.125" bestFit="1" customWidth="1"/>
  </cols>
  <sheetData>
    <row r="1" spans="1:57" s="37" customFormat="1" ht="51" customHeight="1" x14ac:dyDescent="0.25">
      <c r="A1" s="39"/>
      <c r="B1" s="123" t="s">
        <v>349</v>
      </c>
      <c r="C1" s="38"/>
      <c r="D1" s="38"/>
      <c r="E1" s="38"/>
      <c r="F1" s="38"/>
      <c r="G1" s="38"/>
      <c r="H1" s="38"/>
      <c r="I1" s="38"/>
      <c r="J1" s="38"/>
      <c r="K1" s="38"/>
      <c r="L1" s="38"/>
      <c r="M1" s="38"/>
      <c r="N1" s="38"/>
      <c r="O1" s="38"/>
      <c r="P1" s="36"/>
      <c r="Q1" s="36"/>
      <c r="R1" s="106" t="s">
        <v>350</v>
      </c>
      <c r="S1" s="106"/>
      <c r="T1" s="106"/>
      <c r="U1" s="106"/>
    </row>
    <row r="2" spans="1:57" x14ac:dyDescent="0.25">
      <c r="B2" s="16"/>
      <c r="C2" s="16"/>
      <c r="D2" s="16"/>
      <c r="E2" s="16"/>
      <c r="F2" s="16"/>
      <c r="G2" s="16"/>
      <c r="H2" s="16"/>
      <c r="I2" s="16"/>
      <c r="J2" s="16"/>
      <c r="K2" s="16"/>
      <c r="L2" s="16"/>
      <c r="M2" s="16"/>
      <c r="N2" s="16"/>
      <c r="O2" s="16"/>
    </row>
    <row r="3" spans="1:57" x14ac:dyDescent="0.25">
      <c r="B3" s="25" t="s">
        <v>359</v>
      </c>
      <c r="C3" s="25"/>
      <c r="D3" s="25"/>
      <c r="E3" s="25"/>
      <c r="F3" s="25"/>
      <c r="G3" s="25"/>
      <c r="H3" s="25"/>
      <c r="I3" s="25"/>
      <c r="J3" s="25"/>
      <c r="K3" s="25"/>
      <c r="L3" s="25"/>
      <c r="M3" s="25"/>
      <c r="N3" s="25"/>
      <c r="O3" s="99">
        <f>(Cover!D7*Cover!D6)*0.001</f>
        <v>40321953.200000003</v>
      </c>
    </row>
    <row r="4" spans="1:57" x14ac:dyDescent="0.25">
      <c r="B4" s="16"/>
      <c r="C4" s="16"/>
      <c r="D4" s="16"/>
      <c r="E4" s="16"/>
      <c r="F4" s="16"/>
      <c r="G4" s="16"/>
      <c r="H4" s="16"/>
      <c r="I4" s="16"/>
      <c r="J4" s="16"/>
      <c r="K4" s="16"/>
      <c r="L4" s="16"/>
      <c r="M4" s="16"/>
      <c r="N4" s="16"/>
      <c r="O4" s="16"/>
    </row>
    <row r="5" spans="1:57" ht="23.25" x14ac:dyDescent="0.35">
      <c r="B5" s="41" t="s">
        <v>348</v>
      </c>
      <c r="C5" s="124" t="s">
        <v>516</v>
      </c>
      <c r="D5" s="124"/>
      <c r="E5" s="124"/>
      <c r="F5" s="124"/>
      <c r="G5" s="124"/>
      <c r="H5" s="124"/>
      <c r="I5" s="124"/>
      <c r="J5" s="124"/>
      <c r="K5" s="124"/>
      <c r="L5" s="124"/>
      <c r="M5" s="124"/>
      <c r="N5" s="41"/>
      <c r="O5" s="124" t="s">
        <v>516</v>
      </c>
      <c r="P5" s="124"/>
      <c r="Q5" s="124"/>
      <c r="R5" s="124"/>
      <c r="S5" s="125" t="s">
        <v>517</v>
      </c>
      <c r="T5" s="125"/>
      <c r="U5" s="125"/>
      <c r="V5" s="125"/>
      <c r="W5" s="125"/>
      <c r="X5" s="108"/>
      <c r="Y5" s="108"/>
      <c r="Z5" s="108"/>
      <c r="AA5" s="108"/>
      <c r="AB5" s="108"/>
      <c r="AC5" s="108"/>
      <c r="AD5" s="108"/>
      <c r="AE5" s="108"/>
      <c r="AF5" s="108"/>
      <c r="AG5" s="108"/>
    </row>
    <row r="6" spans="1:57" x14ac:dyDescent="0.25">
      <c r="B6" s="43" t="s">
        <v>351</v>
      </c>
      <c r="C6" s="43" t="s">
        <v>494</v>
      </c>
      <c r="D6" s="43" t="s">
        <v>493</v>
      </c>
      <c r="E6" s="43" t="s">
        <v>492</v>
      </c>
      <c r="F6" s="43" t="s">
        <v>491</v>
      </c>
      <c r="G6" s="43" t="s">
        <v>490</v>
      </c>
      <c r="H6" s="43" t="s">
        <v>489</v>
      </c>
      <c r="I6" s="57" t="s">
        <v>380</v>
      </c>
      <c r="J6" s="57" t="s">
        <v>379</v>
      </c>
      <c r="K6" s="57" t="s">
        <v>378</v>
      </c>
      <c r="L6" s="57" t="s">
        <v>377</v>
      </c>
      <c r="M6" s="57" t="s">
        <v>376</v>
      </c>
      <c r="N6" s="43"/>
      <c r="O6" s="42">
        <v>44926</v>
      </c>
      <c r="P6" s="42">
        <f t="shared" ref="P6:W6" si="0">EOMONTH(O6,12)</f>
        <v>45291</v>
      </c>
      <c r="Q6" s="42">
        <f t="shared" si="0"/>
        <v>45657</v>
      </c>
      <c r="R6" s="42">
        <f t="shared" si="0"/>
        <v>46022</v>
      </c>
      <c r="S6" s="42">
        <f t="shared" si="0"/>
        <v>46387</v>
      </c>
      <c r="T6" s="42">
        <f t="shared" si="0"/>
        <v>46752</v>
      </c>
      <c r="U6" s="42">
        <f t="shared" si="0"/>
        <v>47118</v>
      </c>
      <c r="V6" s="42">
        <f t="shared" si="0"/>
        <v>47483</v>
      </c>
      <c r="W6" s="42">
        <f t="shared" si="0"/>
        <v>47848</v>
      </c>
      <c r="X6" s="111"/>
      <c r="Y6" s="111"/>
      <c r="Z6" s="111"/>
      <c r="AA6" s="111"/>
      <c r="AB6" s="111"/>
      <c r="AC6" s="111"/>
      <c r="AD6" s="111"/>
      <c r="AE6" s="111"/>
      <c r="AF6" s="111"/>
      <c r="AG6" s="111"/>
      <c r="AH6" s="54"/>
      <c r="AI6" s="54"/>
      <c r="AJ6" s="54"/>
      <c r="AK6" s="54"/>
      <c r="AL6" s="54"/>
      <c r="AM6" s="54"/>
      <c r="AN6" s="54"/>
      <c r="AO6" s="54"/>
      <c r="AP6" s="54"/>
      <c r="AQ6" s="54"/>
      <c r="AR6" s="54"/>
      <c r="AS6" s="54"/>
      <c r="AT6" s="54"/>
      <c r="AU6" s="54"/>
      <c r="AV6" s="54"/>
      <c r="AW6" s="54"/>
      <c r="AX6" s="54"/>
      <c r="AY6" s="54"/>
      <c r="AZ6" s="54"/>
      <c r="BA6" s="54"/>
      <c r="BB6" s="54"/>
      <c r="BC6" s="54"/>
      <c r="BD6" s="54"/>
      <c r="BE6" s="54"/>
    </row>
    <row r="7" spans="1:57" x14ac:dyDescent="0.25">
      <c r="B7" s="16"/>
      <c r="C7" s="58">
        <v>44651</v>
      </c>
      <c r="D7" s="58">
        <f>EOMONTH(C7,3)</f>
        <v>44742</v>
      </c>
      <c r="E7" s="58">
        <f>EOMONTH(D7,3)</f>
        <v>44834</v>
      </c>
      <c r="F7" s="58">
        <v>45016</v>
      </c>
      <c r="G7" s="58">
        <f>EOMONTH(F7,3)</f>
        <v>45107</v>
      </c>
      <c r="H7" s="58">
        <f>EOMONTH(G7,3)</f>
        <v>45199</v>
      </c>
      <c r="I7" s="58">
        <v>45382</v>
      </c>
      <c r="J7" s="58">
        <f>EOMONTH(I7,3)</f>
        <v>45473</v>
      </c>
      <c r="K7" s="58">
        <f>EOMONTH(J7,3)</f>
        <v>45565</v>
      </c>
      <c r="L7" s="58">
        <v>45747</v>
      </c>
      <c r="M7" s="58">
        <f>EOMONTH(L7,3)</f>
        <v>45838</v>
      </c>
      <c r="N7" s="16"/>
      <c r="O7" s="16"/>
      <c r="R7" s="45"/>
      <c r="V7" s="45"/>
      <c r="X7" s="108"/>
      <c r="Y7" s="108"/>
      <c r="Z7" s="109"/>
      <c r="AA7" s="108"/>
      <c r="AB7" s="108"/>
      <c r="AC7" s="108"/>
      <c r="AD7" s="109"/>
      <c r="AE7" s="108"/>
      <c r="AF7" s="108"/>
      <c r="AG7" s="108"/>
    </row>
    <row r="8" spans="1:57" x14ac:dyDescent="0.25">
      <c r="B8" s="9" t="s">
        <v>352</v>
      </c>
      <c r="C8" s="9"/>
      <c r="D8" s="9"/>
      <c r="E8" s="9"/>
      <c r="F8" s="9"/>
      <c r="G8" s="9"/>
      <c r="H8" s="9"/>
      <c r="I8" s="9"/>
      <c r="J8" s="9"/>
      <c r="K8" s="9"/>
      <c r="L8" s="9"/>
      <c r="M8" s="9"/>
      <c r="N8" s="9"/>
      <c r="O8" s="45">
        <v>365</v>
      </c>
      <c r="P8" s="45">
        <v>365</v>
      </c>
      <c r="Q8" s="45">
        <v>365</v>
      </c>
      <c r="R8" s="45">
        <v>365</v>
      </c>
      <c r="S8" s="45">
        <v>365</v>
      </c>
      <c r="T8" s="45">
        <v>365</v>
      </c>
      <c r="U8" s="45">
        <v>365</v>
      </c>
      <c r="V8" s="45">
        <v>365</v>
      </c>
      <c r="W8" s="45">
        <v>365</v>
      </c>
      <c r="X8" s="109"/>
      <c r="Y8" s="109"/>
      <c r="Z8" s="108"/>
      <c r="AA8" s="109"/>
      <c r="AB8" s="109"/>
      <c r="AC8" s="109"/>
      <c r="AD8" s="108"/>
      <c r="AE8" s="109"/>
      <c r="AF8" s="109"/>
      <c r="AG8" s="109"/>
    </row>
    <row r="9" spans="1:57" x14ac:dyDescent="0.25">
      <c r="B9" s="16"/>
      <c r="C9" s="16"/>
      <c r="D9" s="16"/>
      <c r="E9" s="16"/>
      <c r="F9" s="16"/>
      <c r="G9" s="16"/>
      <c r="H9" s="16"/>
      <c r="I9" s="16"/>
      <c r="J9" s="16"/>
      <c r="K9" s="16"/>
      <c r="L9" s="16"/>
      <c r="M9" s="16"/>
      <c r="N9" s="16"/>
      <c r="O9" s="16"/>
      <c r="X9" s="108"/>
      <c r="Y9" s="108"/>
      <c r="Z9" s="108"/>
      <c r="AA9" s="108"/>
      <c r="AB9" s="108"/>
      <c r="AC9" s="108"/>
      <c r="AD9" s="108"/>
      <c r="AE9" s="108"/>
      <c r="AF9" s="108"/>
      <c r="AG9" s="108"/>
    </row>
    <row r="10" spans="1:57" x14ac:dyDescent="0.25">
      <c r="B10" s="114" t="s">
        <v>519</v>
      </c>
      <c r="C10" s="114"/>
      <c r="D10" s="114"/>
      <c r="E10" s="114"/>
      <c r="F10" s="114"/>
      <c r="G10" s="114"/>
      <c r="H10" s="114"/>
      <c r="I10" s="114"/>
      <c r="J10" s="114"/>
      <c r="K10" s="114"/>
      <c r="L10" s="114"/>
      <c r="M10" s="114"/>
      <c r="N10" s="114"/>
      <c r="O10" s="115"/>
      <c r="P10" s="116"/>
      <c r="Q10" s="116"/>
      <c r="R10" s="116"/>
      <c r="S10" s="116"/>
      <c r="T10" s="116"/>
      <c r="U10" s="116"/>
      <c r="V10" s="116"/>
      <c r="W10" s="116"/>
      <c r="X10" s="108"/>
      <c r="Y10" s="108"/>
      <c r="Z10" s="108"/>
      <c r="AA10" s="108"/>
      <c r="AB10" s="108"/>
      <c r="AC10" s="108"/>
      <c r="AD10" s="108"/>
      <c r="AE10" s="108"/>
      <c r="AF10" s="108"/>
      <c r="AG10" s="108"/>
    </row>
    <row r="11" spans="1:57" x14ac:dyDescent="0.25">
      <c r="B11" t="s">
        <v>241</v>
      </c>
      <c r="C11" s="19"/>
      <c r="D11" s="19">
        <f>D41/C41-1</f>
        <v>0.11206609024540204</v>
      </c>
      <c r="E11" s="19">
        <f>E41/D41-1</f>
        <v>2.5211039893527021E-2</v>
      </c>
      <c r="F11" s="19">
        <f>F41/E41-1</f>
        <v>0.10510147067649256</v>
      </c>
      <c r="G11" s="19">
        <f>G41/F41-1</f>
        <v>0.10918070086737197</v>
      </c>
      <c r="H11" s="19">
        <f>H41/G41-1</f>
        <v>1.4911768962251992E-2</v>
      </c>
      <c r="I11" s="19">
        <f>I41/H41-1</f>
        <v>6.046024445424325E-2</v>
      </c>
      <c r="J11" s="19">
        <f>J41/I41-1</f>
        <v>3.3310514731259788E-2</v>
      </c>
      <c r="K11" s="19">
        <f>K41/J41-1</f>
        <v>-2.9203177678467473E-2</v>
      </c>
      <c r="L11" s="19">
        <f>L41/K41-1</f>
        <v>-3.4138519672927581E-2</v>
      </c>
      <c r="M11" s="19">
        <f>M41/L41-1</f>
        <v>4.8972798068400269E-2</v>
      </c>
      <c r="P11" s="19">
        <f>$P$41/$O$41-1</f>
        <v>0.25006498270806854</v>
      </c>
      <c r="Q11" s="19">
        <f>$Q$41/$P$41-1</f>
        <v>0.10063277690075245</v>
      </c>
      <c r="R11" s="49">
        <f>(1+$L$11)*(1+$M$11)*(1+0.08)*(1+0.08)-1</f>
        <v>0.18175264618082188</v>
      </c>
      <c r="S11" s="49">
        <f>AVERAGE(P11:R11)</f>
        <v>0.17748346859654762</v>
      </c>
      <c r="T11" s="49">
        <f t="shared" ref="T11:W11" si="1">AVERAGE(Q11:S11)</f>
        <v>0.15328963055937397</v>
      </c>
      <c r="U11" s="49">
        <f t="shared" si="1"/>
        <v>0.17084191511224781</v>
      </c>
      <c r="V11" s="49">
        <f t="shared" si="1"/>
        <v>0.16720500475605646</v>
      </c>
      <c r="W11" s="49">
        <f t="shared" si="1"/>
        <v>0.16377885014255941</v>
      </c>
      <c r="X11" s="110"/>
      <c r="Y11" s="110"/>
      <c r="Z11" s="110"/>
      <c r="AA11" s="110"/>
      <c r="AB11" s="110"/>
      <c r="AC11" s="110"/>
      <c r="AD11" s="110"/>
      <c r="AE11" s="110"/>
      <c r="AF11" s="110"/>
      <c r="AG11" s="110"/>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row>
    <row r="12" spans="1:57" x14ac:dyDescent="0.25">
      <c r="B12" t="s">
        <v>518</v>
      </c>
      <c r="D12" s="19">
        <f>D46/D41</f>
        <v>0.66633026820984631</v>
      </c>
      <c r="E12" s="19">
        <f>E46/E41</f>
        <v>0.65295653389040209</v>
      </c>
      <c r="F12" s="19">
        <f>F46/F41</f>
        <v>0.65640501221310621</v>
      </c>
      <c r="G12" s="19">
        <f>G46/G41</f>
        <v>0.66285176199200824</v>
      </c>
      <c r="H12" s="19">
        <f>H46/H41</f>
        <v>0.66204693089960232</v>
      </c>
      <c r="I12" s="19">
        <f>I46/I41</f>
        <v>0.6484089312836655</v>
      </c>
      <c r="J12" s="19">
        <f>J46/J41</f>
        <v>0.63716072762150266</v>
      </c>
      <c r="K12" s="19">
        <f>K46/K41</f>
        <v>0.62353415048459615</v>
      </c>
      <c r="L12" s="19">
        <f>L46/L41</f>
        <v>0.60331186341305199</v>
      </c>
      <c r="M12" s="19">
        <f>M46/M41</f>
        <v>0.58104748287088337</v>
      </c>
      <c r="O12" s="19">
        <f>O46/O41</f>
        <v>0.65822306902392802</v>
      </c>
      <c r="P12" s="19">
        <f>P46/P41</f>
        <v>0.65755543431277308</v>
      </c>
      <c r="Q12" s="19">
        <f>Q46/Q41</f>
        <v>0.63148225742881126</v>
      </c>
      <c r="R12" s="19">
        <f>R46/R41</f>
        <v>0.59999999999999987</v>
      </c>
      <c r="S12" s="19">
        <f>S46/S41</f>
        <v>0.6</v>
      </c>
      <c r="T12" s="19">
        <f>T46/T41</f>
        <v>0.6</v>
      </c>
      <c r="U12" s="19">
        <f>U46/U41</f>
        <v>0.6</v>
      </c>
      <c r="V12" s="19">
        <f>V46/V41</f>
        <v>0.6</v>
      </c>
      <c r="W12" s="19" t="e">
        <f>W36/W31</f>
        <v>#DIV/0!</v>
      </c>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6"/>
      <c r="BD12" s="86"/>
      <c r="BE12" s="86"/>
    </row>
    <row r="13" spans="1:57" s="108" customFormat="1" x14ac:dyDescent="0.25">
      <c r="B13" s="108" t="s">
        <v>354</v>
      </c>
      <c r="D13" s="87">
        <f>D47/D41</f>
        <v>0.33366973179015363</v>
      </c>
      <c r="E13" s="87">
        <f>E47/E41</f>
        <v>0.34704346610959796</v>
      </c>
      <c r="F13" s="87">
        <f>F47/F41</f>
        <v>0.34359498778689379</v>
      </c>
      <c r="G13" s="87">
        <f>G47/G41</f>
        <v>0.33714823800799176</v>
      </c>
      <c r="H13" s="87">
        <f>H47/H41</f>
        <v>0.33795306910039763</v>
      </c>
      <c r="I13" s="87">
        <f>I47/I41</f>
        <v>0.35159106871633444</v>
      </c>
      <c r="J13" s="87">
        <f>J47/J41</f>
        <v>0.36283927237849728</v>
      </c>
      <c r="K13" s="87">
        <f>K47/K41</f>
        <v>0.37646584951540385</v>
      </c>
      <c r="L13" s="87">
        <f>L47/L41</f>
        <v>0.39668813658694796</v>
      </c>
      <c r="M13" s="87">
        <f>M47/M41</f>
        <v>0.41895251712911663</v>
      </c>
      <c r="N13" s="87"/>
      <c r="O13" s="87">
        <f>O47/O41</f>
        <v>0.34177693097607192</v>
      </c>
      <c r="P13" s="87">
        <f>P47/P41</f>
        <v>0.34244456568722687</v>
      </c>
      <c r="Q13" s="87">
        <f>Q47/Q41</f>
        <v>0.36851774257118874</v>
      </c>
      <c r="R13" s="87">
        <f>R47/R41</f>
        <v>0.40000000000000008</v>
      </c>
      <c r="S13" s="87">
        <f>S47/S41</f>
        <v>0.4</v>
      </c>
      <c r="T13" s="87">
        <f>T47/T41</f>
        <v>0.4</v>
      </c>
      <c r="U13" s="87">
        <f>U47/U41</f>
        <v>0.4</v>
      </c>
      <c r="V13" s="87">
        <f>V47/V41</f>
        <v>0.4</v>
      </c>
      <c r="W13" s="87" t="e">
        <f>W37/W31</f>
        <v>#DIV/0!</v>
      </c>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row>
    <row r="14" spans="1:57" x14ac:dyDescent="0.25">
      <c r="B14" t="s">
        <v>372</v>
      </c>
      <c r="D14" s="18">
        <f>D52/D41</f>
        <v>-3.142763796745101E-2</v>
      </c>
      <c r="E14" s="18">
        <f>E52/E41</f>
        <v>3.0511737131829829E-2</v>
      </c>
      <c r="F14" s="18">
        <f>F52/F41</f>
        <v>6.1952281413053083E-3</v>
      </c>
      <c r="G14" s="18">
        <f>G52/G41</f>
        <v>-1.7207360418518156E-2</v>
      </c>
      <c r="H14" s="18">
        <f>H52/H41</f>
        <v>8.3768684713981835E-3</v>
      </c>
      <c r="I14" s="18">
        <f>I52/I41</f>
        <v>4.9188971598394395E-2</v>
      </c>
      <c r="J14" s="18">
        <f>J52/J41</f>
        <v>5.6432693483926655E-2</v>
      </c>
      <c r="K14" s="18">
        <f>K52/K41</f>
        <v>6.0080648602589007E-2</v>
      </c>
      <c r="L14" s="18">
        <f>L52/L41</f>
        <v>6.2884758920793454E-2</v>
      </c>
      <c r="M14" s="18">
        <f>M52/M41</f>
        <v>8.5587196341472077E-2</v>
      </c>
      <c r="N14" s="18"/>
      <c r="O14" s="18">
        <f>O52/O41</f>
        <v>-2.5052095968265735E-2</v>
      </c>
      <c r="P14" s="18">
        <f>P52/P41</f>
        <v>-4.7817486183258399E-3</v>
      </c>
      <c r="Q14" s="18">
        <f>Q52/Q41</f>
        <v>4.3407557704881292E-2</v>
      </c>
      <c r="R14" s="18">
        <f>R52/R41</f>
        <v>9.0000000000000122E-2</v>
      </c>
      <c r="S14" s="49">
        <v>0.05</v>
      </c>
      <c r="T14" s="49">
        <v>0.05</v>
      </c>
      <c r="U14" s="49">
        <v>0.01</v>
      </c>
      <c r="V14" s="49">
        <v>0.01</v>
      </c>
      <c r="W14" s="49">
        <v>0.02</v>
      </c>
      <c r="X14" s="110"/>
      <c r="Y14" s="110"/>
      <c r="Z14" s="110"/>
      <c r="AA14" s="110"/>
      <c r="AB14" s="110"/>
      <c r="AC14" s="110"/>
      <c r="AD14" s="110"/>
      <c r="AE14" s="110"/>
      <c r="AF14" s="110"/>
      <c r="AG14" s="110"/>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row>
    <row r="15" spans="1:57" x14ac:dyDescent="0.25">
      <c r="B15" t="s">
        <v>353</v>
      </c>
      <c r="D15" s="18">
        <f>D57/D41</f>
        <v>-3.040686352749768E-2</v>
      </c>
      <c r="E15" s="18">
        <f>E57/E41</f>
        <v>3.7165424918077367E-2</v>
      </c>
      <c r="F15" s="18">
        <f>F57/F41</f>
        <v>2.7351987352636632E-3</v>
      </c>
      <c r="G15" s="18">
        <f>G57/G41</f>
        <v>-1.6075463639554925E-2</v>
      </c>
      <c r="H15" s="18">
        <f>H57/H41</f>
        <v>4.1308462689673133E-3</v>
      </c>
      <c r="I15" s="18">
        <f>I57/I41</f>
        <v>4.7119685862046276E-2</v>
      </c>
      <c r="J15" s="18">
        <f>J57/J41</f>
        <v>4.8866529349143206E-2</v>
      </c>
      <c r="K15" s="18">
        <f>K57/K41</f>
        <v>5.3073554490854026E-2</v>
      </c>
      <c r="L15" s="18">
        <f>L57/L41</f>
        <v>5.4702037286141092E-2</v>
      </c>
      <c r="M15" s="18">
        <f>M57/M41</f>
        <v>5.9470238206332952E-2</v>
      </c>
      <c r="N15" s="18"/>
      <c r="O15" s="18">
        <f>O57/O41</f>
        <v>-2.0972202915799921E-2</v>
      </c>
      <c r="P15" s="18">
        <f>P57/P41</f>
        <v>-2.4714789079918011E-3</v>
      </c>
      <c r="Q15" s="18">
        <f>Q57/Q41</f>
        <v>0.10780159556052549</v>
      </c>
      <c r="R15" s="18">
        <f>R57/R41</f>
        <v>7.7860325767753161E-2</v>
      </c>
      <c r="S15" s="18">
        <f>S57/S41</f>
        <v>8.8015638000388877E-2</v>
      </c>
      <c r="T15" s="18">
        <f>T57/T41</f>
        <v>8.9177941259624846E-2</v>
      </c>
      <c r="U15" s="18">
        <f>U57/U41</f>
        <v>9.0201410699767864E-2</v>
      </c>
      <c r="V15" s="18">
        <f>V57/V41</f>
        <v>9.1341247316309507E-2</v>
      </c>
      <c r="W15" s="18" t="e">
        <f>W47/W31</f>
        <v>#DIV/0!</v>
      </c>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row>
    <row r="16" spans="1:57" x14ac:dyDescent="0.25">
      <c r="B16" t="s">
        <v>356</v>
      </c>
      <c r="D16" s="18">
        <f>D48/D41</f>
        <v>0.21036376668492829</v>
      </c>
      <c r="E16" s="18">
        <f>E48/E41</f>
        <v>0</v>
      </c>
      <c r="F16" s="18">
        <f>F48/F41</f>
        <v>0.18613459245859476</v>
      </c>
      <c r="G16" s="18">
        <f>G48/G41</f>
        <v>0.1963700892346589</v>
      </c>
      <c r="H16" s="18">
        <f>H48/H41</f>
        <v>0.17094209107158656</v>
      </c>
      <c r="I16" s="18">
        <f>I48/I41</f>
        <v>0.15362184596335685</v>
      </c>
      <c r="J16" s="18">
        <f>J48/J41</f>
        <v>0.159389157417445</v>
      </c>
      <c r="K16" s="18">
        <f>K48/K41</f>
        <v>0.16526822094644719</v>
      </c>
      <c r="L16" s="18">
        <f>L48/L41</f>
        <v>0.17260779833521489</v>
      </c>
      <c r="M16" s="18">
        <f>M48/M41</f>
        <v>0.16499712525830146</v>
      </c>
      <c r="N16" s="18"/>
      <c r="O16" s="18">
        <f>O48/O41</f>
        <v>0.21360302407306309</v>
      </c>
      <c r="P16" s="18">
        <f>P48/P41</f>
        <v>0.19293081469780712</v>
      </c>
      <c r="Q16" s="18">
        <f>Q48/Q41</f>
        <v>0.1713591856872915</v>
      </c>
      <c r="R16" s="53">
        <v>0.16</v>
      </c>
      <c r="S16" s="53">
        <v>0.15</v>
      </c>
      <c r="T16" s="53">
        <v>0.15</v>
      </c>
      <c r="U16" s="53">
        <v>0.15</v>
      </c>
      <c r="V16" s="53">
        <v>0.15</v>
      </c>
      <c r="W16" s="53">
        <v>0.15</v>
      </c>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row>
    <row r="17" spans="1:57" x14ac:dyDescent="0.25">
      <c r="B17" t="s">
        <v>357</v>
      </c>
      <c r="D17" s="18">
        <f>D49/D41</f>
        <v>0.11915702557771042</v>
      </c>
      <c r="E17" s="18">
        <f>E49/E41</f>
        <v>0.12136685283114471</v>
      </c>
      <c r="F17" s="18">
        <f>F49/F41</f>
        <v>0.12563537911128986</v>
      </c>
      <c r="G17" s="18">
        <f>G49/G41</f>
        <v>0.12550630474636026</v>
      </c>
      <c r="H17" s="18">
        <f>H49/H41</f>
        <v>0.12706522286721142</v>
      </c>
      <c r="I17" s="18">
        <f>I49/I41</f>
        <v>0.12095996594332034</v>
      </c>
      <c r="J17" s="18">
        <f>J49/J41</f>
        <v>0.11585666493869042</v>
      </c>
      <c r="K17" s="18">
        <f>K49/K41</f>
        <v>0.1189770208211418</v>
      </c>
      <c r="L17" s="18">
        <f>L49/L41</f>
        <v>0.13179589160808872</v>
      </c>
      <c r="M17" s="18">
        <f>M49/M41</f>
        <v>0.11979406245679836</v>
      </c>
      <c r="N17" s="18"/>
      <c r="O17" s="18">
        <f>O49/O41</f>
        <v>0.12181509865592886</v>
      </c>
      <c r="P17" s="18">
        <f>P49/P41</f>
        <v>0.12414974468213839</v>
      </c>
      <c r="Q17" s="18">
        <f>Q49/Q41</f>
        <v>0.12082453448446052</v>
      </c>
      <c r="R17" s="53">
        <v>0.12</v>
      </c>
      <c r="S17" s="18">
        <v>0.12</v>
      </c>
      <c r="T17" s="18">
        <v>0.12</v>
      </c>
      <c r="U17" s="18">
        <v>0.12</v>
      </c>
      <c r="V17" s="18">
        <v>0.12</v>
      </c>
      <c r="W17" s="18">
        <v>0.12</v>
      </c>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row>
    <row r="18" spans="1:57" x14ac:dyDescent="0.25">
      <c r="B18" t="s">
        <v>443</v>
      </c>
      <c r="D18" s="18">
        <f>D50/D41</f>
        <v>3.5576577494965941E-2</v>
      </c>
      <c r="E18" s="18">
        <f>E50/E41</f>
        <v>0.1951648761466234</v>
      </c>
      <c r="F18" s="18">
        <f>F50/F41</f>
        <v>2.5629788075703826E-2</v>
      </c>
      <c r="G18" s="18">
        <f>G50/G41</f>
        <v>3.2479204445490725E-2</v>
      </c>
      <c r="H18" s="18">
        <f>H50/H41</f>
        <v>3.1568886690201484E-2</v>
      </c>
      <c r="I18" s="18">
        <f>I50/I41</f>
        <v>2.7820285211262875E-2</v>
      </c>
      <c r="J18" s="18">
        <f>J50/J41</f>
        <v>3.1160756538435232E-2</v>
      </c>
      <c r="K18" s="18">
        <f>K50/K41</f>
        <v>3.213995914522589E-2</v>
      </c>
      <c r="L18" s="18">
        <f>L50/L41</f>
        <v>2.9399687722850912E-2</v>
      </c>
      <c r="M18" s="18">
        <f>M50/M41</f>
        <v>4.857413307254474E-2</v>
      </c>
      <c r="N18" s="18"/>
      <c r="O18" s="19">
        <f>O50/O41</f>
        <v>3.141090421534571E-2</v>
      </c>
      <c r="P18" s="19">
        <f>P50/P41</f>
        <v>3.0145754925607181E-2</v>
      </c>
      <c r="Q18" s="19">
        <f>Q50/Q41</f>
        <v>3.2926464694555416E-2</v>
      </c>
      <c r="R18" s="89">
        <v>0.03</v>
      </c>
      <c r="S18" s="19">
        <v>0.03</v>
      </c>
      <c r="T18" s="19">
        <v>0.03</v>
      </c>
      <c r="U18" s="19">
        <v>0.03</v>
      </c>
      <c r="V18" s="19">
        <v>0.03</v>
      </c>
      <c r="W18" s="19">
        <v>0.03</v>
      </c>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row>
    <row r="19" spans="1:57" x14ac:dyDescent="0.25">
      <c r="B19" t="s">
        <v>375</v>
      </c>
      <c r="D19" s="18">
        <f>-D56/D55</f>
        <v>-9.8323820151859035E-3</v>
      </c>
      <c r="E19" s="18">
        <f>-E56/E55</f>
        <v>-0.11485189294041838</v>
      </c>
      <c r="F19" s="18">
        <f>-F56/F55</f>
        <v>0.13091372174466731</v>
      </c>
      <c r="G19" s="18">
        <f>-G56/G55</f>
        <v>3.9923605641097579E-2</v>
      </c>
      <c r="H19" s="18">
        <f>-H56/H55</f>
        <v>0.68096076112959547</v>
      </c>
      <c r="I19" s="18">
        <f>-I56/I55</f>
        <v>0.11224896423036781</v>
      </c>
      <c r="J19" s="18">
        <f>-J56/J55</f>
        <v>0.16404691104132507</v>
      </c>
      <c r="K19" s="18">
        <f>-K56/K55</f>
        <v>0.11941927100686346</v>
      </c>
      <c r="L19" s="18">
        <f>-L56/L55</f>
        <v>0.1082537557511926</v>
      </c>
      <c r="M19" s="18">
        <f>-M56/M55</f>
        <v>0.25160255077861937</v>
      </c>
      <c r="N19" s="18"/>
      <c r="O19" s="18">
        <f>-O56/O55</f>
        <v>3.2401023190206005E-2</v>
      </c>
      <c r="P19" s="18">
        <f>-P56/P55</f>
        <v>0.12895807535821688</v>
      </c>
      <c r="Q19" s="18">
        <f>-Q56/Q55</f>
        <v>-1.3835188758370036</v>
      </c>
      <c r="R19" s="18">
        <f>AVERAGE($I$19:$M$19)</f>
        <v>0.15111429056167364</v>
      </c>
      <c r="S19" s="18">
        <f t="shared" ref="S19:W19" si="2">AVERAGE($I$19:$M$19)</f>
        <v>0.15111429056167364</v>
      </c>
      <c r="T19" s="18">
        <f t="shared" si="2"/>
        <v>0.15111429056167364</v>
      </c>
      <c r="U19" s="18">
        <f t="shared" si="2"/>
        <v>0.15111429056167364</v>
      </c>
      <c r="V19" s="18">
        <f t="shared" si="2"/>
        <v>0.15111429056167364</v>
      </c>
      <c r="W19" s="18">
        <f t="shared" si="2"/>
        <v>0.15111429056167364</v>
      </c>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row>
    <row r="20" spans="1:57" x14ac:dyDescent="0.25">
      <c r="I20" s="18"/>
      <c r="J20" s="18"/>
      <c r="K20" s="18"/>
      <c r="L20" s="18"/>
      <c r="M20" s="18"/>
      <c r="N20" s="18"/>
      <c r="O20" s="18"/>
      <c r="P20" s="18"/>
      <c r="Q20" s="18"/>
      <c r="R20" s="18"/>
      <c r="S20" s="18"/>
      <c r="T20" s="18"/>
      <c r="U20" s="18"/>
      <c r="V20" s="18"/>
      <c r="W20" s="18"/>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row>
    <row r="21" spans="1:57" x14ac:dyDescent="0.25">
      <c r="I21" s="18"/>
      <c r="J21" s="18"/>
      <c r="K21" s="18"/>
      <c r="L21" s="18"/>
      <c r="M21" s="18"/>
      <c r="N21" s="18"/>
      <c r="O21" s="18"/>
      <c r="P21" s="18"/>
      <c r="Q21" s="18"/>
      <c r="R21" s="18"/>
      <c r="S21" s="18"/>
      <c r="T21" s="18"/>
      <c r="U21" s="18"/>
      <c r="V21" s="18"/>
      <c r="W21" s="18"/>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row>
    <row r="22" spans="1:57" x14ac:dyDescent="0.25">
      <c r="I22" s="18"/>
      <c r="J22" s="18"/>
      <c r="K22" s="18"/>
      <c r="L22" s="18"/>
      <c r="M22" s="18"/>
      <c r="N22" s="18"/>
      <c r="O22" s="18"/>
      <c r="P22" s="18"/>
      <c r="Q22" s="18"/>
      <c r="R22" s="18"/>
      <c r="S22" s="18"/>
      <c r="T22" s="18"/>
      <c r="U22" s="18"/>
      <c r="V22" s="18"/>
      <c r="W22" s="18"/>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row>
    <row r="23" spans="1:57" x14ac:dyDescent="0.25">
      <c r="I23" s="18"/>
      <c r="J23" s="18"/>
      <c r="K23" s="18"/>
      <c r="L23" s="18"/>
      <c r="M23" s="18"/>
      <c r="N23" s="18"/>
      <c r="O23" s="18"/>
      <c r="P23" s="18"/>
      <c r="Q23" s="18"/>
      <c r="R23" s="18"/>
      <c r="S23" s="18"/>
      <c r="T23" s="18"/>
      <c r="U23" s="18"/>
      <c r="V23" s="18"/>
      <c r="W23" s="18"/>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row>
    <row r="24" spans="1:57" x14ac:dyDescent="0.25">
      <c r="B24" s="9"/>
      <c r="C24" s="9"/>
      <c r="D24" s="9"/>
      <c r="E24" s="9"/>
      <c r="F24" s="9"/>
      <c r="G24" s="9"/>
      <c r="H24" s="9"/>
      <c r="I24" s="9"/>
      <c r="J24" s="9"/>
      <c r="K24" s="9"/>
      <c r="L24" s="9"/>
      <c r="M24" s="9"/>
      <c r="N24" s="9"/>
      <c r="O24" s="16"/>
      <c r="R24" s="5"/>
      <c r="S24" s="5"/>
      <c r="T24" s="5"/>
      <c r="U24" s="5"/>
      <c r="V24" s="5"/>
      <c r="W24" s="14"/>
    </row>
    <row r="25" spans="1:57" x14ac:dyDescent="0.25">
      <c r="B25" t="s">
        <v>235</v>
      </c>
      <c r="P25" s="24">
        <f>P74/P90</f>
        <v>2.0059224067785775</v>
      </c>
      <c r="Q25" s="24">
        <f>Q74/Q90</f>
        <v>2.3260408166894782</v>
      </c>
      <c r="R25" s="24"/>
      <c r="S25" s="50"/>
      <c r="T25" s="50"/>
      <c r="U25" s="50"/>
      <c r="V25" s="50"/>
      <c r="W25" s="14"/>
    </row>
    <row r="26" spans="1:57" x14ac:dyDescent="0.25">
      <c r="B26" t="s">
        <v>361</v>
      </c>
      <c r="P26" s="24">
        <f>(P69+P70+P71)/P90</f>
        <v>1.296780135277952</v>
      </c>
      <c r="Q26" s="24">
        <f>(Q69+Q70+Q71)/Q90</f>
        <v>1.4092433212999769</v>
      </c>
      <c r="R26" s="24"/>
      <c r="S26" s="50"/>
      <c r="T26" s="50"/>
      <c r="U26" s="50"/>
      <c r="V26" s="50"/>
    </row>
    <row r="27" spans="1:57" x14ac:dyDescent="0.25">
      <c r="A27" s="1"/>
      <c r="B27" t="s">
        <v>362</v>
      </c>
      <c r="P27" s="24">
        <f>AVERAGE(O83:P83)/AVERAGE(O105:P105)</f>
        <v>1.7670570693499905</v>
      </c>
      <c r="Q27" s="24">
        <f>AVERAGE(P83:Q83)/AVERAGE(P105:Q105)</f>
        <v>1.7483784855854059</v>
      </c>
      <c r="R27" s="24"/>
      <c r="S27" s="51"/>
      <c r="T27" s="51"/>
      <c r="U27" s="51"/>
      <c r="V27" s="51"/>
    </row>
    <row r="28" spans="1:57" x14ac:dyDescent="0.25">
      <c r="B28" t="s">
        <v>364</v>
      </c>
      <c r="P28" s="46">
        <f>P41/P72</f>
        <v>28.262760760564543</v>
      </c>
      <c r="Q28" s="46">
        <f>Q41/Q72</f>
        <v>21.709028023403686</v>
      </c>
      <c r="R28" s="46"/>
      <c r="S28" s="5"/>
      <c r="T28" s="5"/>
      <c r="U28" s="5"/>
      <c r="V28" s="5"/>
      <c r="W28" s="117"/>
    </row>
    <row r="29" spans="1:57" x14ac:dyDescent="0.25">
      <c r="B29" t="s">
        <v>360</v>
      </c>
      <c r="P29" s="46">
        <f>P41/AVERAGE(O83:P83)</f>
        <v>0.66348032599859508</v>
      </c>
      <c r="Q29" s="46">
        <f>Q41/AVERAGE(P83:Q83)</f>
        <v>0.69105950569084285</v>
      </c>
      <c r="R29" s="46"/>
      <c r="S29" s="5"/>
      <c r="T29" s="5"/>
      <c r="U29" s="5"/>
      <c r="V29" s="5"/>
      <c r="W29" s="54"/>
    </row>
    <row r="30" spans="1:57" x14ac:dyDescent="0.25">
      <c r="B30" t="s">
        <v>363</v>
      </c>
      <c r="P30" s="47">
        <f>(AVERAGE(O88:P88))/P46*365</f>
        <v>33.804945923307045</v>
      </c>
      <c r="Q30" s="47">
        <f>(AVERAGE(P88:Q88))/Q46*365</f>
        <v>34.264456571969426</v>
      </c>
      <c r="R30" s="47"/>
      <c r="S30" s="5"/>
      <c r="T30" s="5"/>
      <c r="U30" s="5"/>
      <c r="V30" s="5"/>
      <c r="W30" s="54"/>
    </row>
    <row r="31" spans="1:57" x14ac:dyDescent="0.25">
      <c r="B31" t="s">
        <v>365</v>
      </c>
      <c r="P31" s="18">
        <f>P57/AVERAGE(O83:P83)</f>
        <v>-1.6397776315730519E-3</v>
      </c>
      <c r="Q31" s="18">
        <f>Q57/AVERAGE(P83:Q83)</f>
        <v>7.4497317340740901E-2</v>
      </c>
      <c r="R31" s="18"/>
      <c r="S31" s="53"/>
      <c r="T31" s="53"/>
      <c r="U31" s="53"/>
      <c r="V31" s="53"/>
      <c r="W31" s="22"/>
    </row>
    <row r="32" spans="1:57" x14ac:dyDescent="0.25">
      <c r="B32" t="s">
        <v>366</v>
      </c>
      <c r="P32" s="19">
        <f>P52/(P83-P90)</f>
        <v>-4.3396494257309758E-3</v>
      </c>
      <c r="Q32" s="19">
        <f>Q52/(Q83-Q90)</f>
        <v>3.7088432182768347E-2</v>
      </c>
      <c r="R32" s="19"/>
      <c r="W32" s="22"/>
    </row>
    <row r="33" spans="2:24" x14ac:dyDescent="0.25">
      <c r="P33" s="3"/>
      <c r="Q33" s="3"/>
      <c r="R33" s="14"/>
      <c r="S33" s="14"/>
      <c r="V33" s="14"/>
      <c r="W33" s="22"/>
    </row>
    <row r="34" spans="2:24" x14ac:dyDescent="0.25">
      <c r="B34" t="s">
        <v>239</v>
      </c>
      <c r="P34" s="24">
        <v>0.43408732103494052</v>
      </c>
      <c r="Q34" s="24">
        <v>0.42261145678503448</v>
      </c>
      <c r="R34" s="14"/>
      <c r="S34" s="14"/>
      <c r="V34" s="14"/>
      <c r="W34" s="22"/>
    </row>
    <row r="35" spans="2:24" x14ac:dyDescent="0.25">
      <c r="B35" t="s">
        <v>238</v>
      </c>
      <c r="P35" s="24">
        <v>0.76705706934999052</v>
      </c>
      <c r="Q35" s="24">
        <v>0.73193599310420243</v>
      </c>
      <c r="R35" s="14"/>
      <c r="S35" s="14"/>
      <c r="V35" s="14"/>
      <c r="W35" s="22"/>
    </row>
    <row r="36" spans="2:24" x14ac:dyDescent="0.25">
      <c r="W36" s="55"/>
    </row>
    <row r="37" spans="2:24" x14ac:dyDescent="0.25">
      <c r="B37" s="30"/>
      <c r="C37" s="30"/>
      <c r="D37" s="30"/>
      <c r="E37" s="30"/>
      <c r="F37" s="30"/>
      <c r="G37" s="30"/>
      <c r="H37" s="30"/>
      <c r="I37" s="30"/>
      <c r="J37" s="30"/>
      <c r="K37" s="30"/>
      <c r="L37" s="30"/>
      <c r="M37" s="30"/>
      <c r="N37" s="30"/>
      <c r="W37" s="11"/>
    </row>
    <row r="38" spans="2:24" ht="23.25" x14ac:dyDescent="0.35">
      <c r="B38" s="41" t="s">
        <v>2</v>
      </c>
      <c r="C38" s="41"/>
      <c r="D38" s="41"/>
      <c r="E38" s="41"/>
      <c r="F38" s="41"/>
      <c r="G38" s="41"/>
      <c r="H38" s="41"/>
      <c r="I38" s="41"/>
      <c r="J38" s="41"/>
      <c r="K38" s="41"/>
      <c r="L38" s="41"/>
      <c r="M38" s="41"/>
      <c r="N38" s="41"/>
      <c r="O38" s="40"/>
      <c r="P38" s="40"/>
      <c r="Q38" s="40"/>
      <c r="R38" s="40"/>
      <c r="S38" s="40"/>
      <c r="T38" s="40"/>
      <c r="U38" s="40"/>
      <c r="V38" s="40"/>
      <c r="W38" s="40"/>
      <c r="X38" s="112"/>
    </row>
    <row r="39" spans="2:24" x14ac:dyDescent="0.25">
      <c r="B39" s="43"/>
      <c r="C39" s="43" t="s">
        <v>494</v>
      </c>
      <c r="D39" s="43" t="s">
        <v>493</v>
      </c>
      <c r="E39" s="43" t="s">
        <v>492</v>
      </c>
      <c r="F39" s="43" t="s">
        <v>491</v>
      </c>
      <c r="G39" s="43" t="s">
        <v>490</v>
      </c>
      <c r="H39" s="43" t="s">
        <v>489</v>
      </c>
      <c r="I39" s="57" t="s">
        <v>380</v>
      </c>
      <c r="J39" s="57" t="s">
        <v>379</v>
      </c>
      <c r="K39" s="57" t="s">
        <v>378</v>
      </c>
      <c r="L39" s="57" t="s">
        <v>377</v>
      </c>
      <c r="M39" s="57" t="s">
        <v>376</v>
      </c>
      <c r="N39" s="57"/>
      <c r="O39" s="54">
        <v>44926</v>
      </c>
      <c r="P39" s="54">
        <f t="shared" ref="P39:U39" si="3">EOMONTH(O39,12)</f>
        <v>45291</v>
      </c>
      <c r="Q39" s="54">
        <f t="shared" si="3"/>
        <v>45657</v>
      </c>
      <c r="R39" s="54">
        <f t="shared" si="3"/>
        <v>46022</v>
      </c>
      <c r="S39" s="54">
        <f t="shared" si="3"/>
        <v>46387</v>
      </c>
      <c r="T39" s="54">
        <f t="shared" si="3"/>
        <v>46752</v>
      </c>
      <c r="U39" s="54">
        <f t="shared" si="3"/>
        <v>47118</v>
      </c>
      <c r="V39" s="54">
        <f t="shared" ref="V39:W39" si="4">EOMONTH(U39,12)</f>
        <v>47483</v>
      </c>
      <c r="W39" s="54">
        <f t="shared" si="4"/>
        <v>47848</v>
      </c>
      <c r="X39" s="113"/>
    </row>
    <row r="40" spans="2:24" x14ac:dyDescent="0.25">
      <c r="B40" s="43"/>
      <c r="C40" s="58">
        <v>44651</v>
      </c>
      <c r="D40" s="58">
        <f>EOMONTH(C40,3)</f>
        <v>44742</v>
      </c>
      <c r="E40" s="58">
        <f>EOMONTH(D40,3)</f>
        <v>44834</v>
      </c>
      <c r="F40" s="58">
        <v>45016</v>
      </c>
      <c r="G40" s="58">
        <f>EOMONTH(F40,3)</f>
        <v>45107</v>
      </c>
      <c r="H40" s="58">
        <f>EOMONTH(G40,3)</f>
        <v>45199</v>
      </c>
      <c r="I40" s="58">
        <v>45382</v>
      </c>
      <c r="J40" s="58">
        <f>EOMONTH(I40,3)</f>
        <v>45473</v>
      </c>
      <c r="K40" s="58">
        <f>EOMONTH(J40,3)</f>
        <v>45565</v>
      </c>
      <c r="L40" s="58">
        <v>45747</v>
      </c>
      <c r="M40" s="58">
        <f>EOMONTH(L40,3)</f>
        <v>45838</v>
      </c>
      <c r="N40" s="58"/>
      <c r="O40" s="54"/>
      <c r="P40" s="54"/>
      <c r="Q40" s="54"/>
      <c r="R40" s="54"/>
      <c r="S40" s="54"/>
      <c r="T40" s="54"/>
      <c r="U40" s="54"/>
      <c r="V40" s="54"/>
      <c r="W40" s="22"/>
      <c r="X40" s="113"/>
    </row>
    <row r="41" spans="2:24" x14ac:dyDescent="0.25">
      <c r="B41" s="21" t="s">
        <v>0</v>
      </c>
      <c r="C41" s="22">
        <f>SUM(C42:C45)</f>
        <v>3960645</v>
      </c>
      <c r="D41" s="22">
        <f t="shared" ref="D41:E41" si="5">SUM(D42:D45)</f>
        <v>4404499</v>
      </c>
      <c r="E41" s="22">
        <f t="shared" si="5"/>
        <v>4515541</v>
      </c>
      <c r="F41" s="22">
        <f>SUM(F42:F45)</f>
        <v>4990131</v>
      </c>
      <c r="G41" s="22">
        <f>SUM(G42:G45)</f>
        <v>5534957</v>
      </c>
      <c r="H41" s="22">
        <f>SUM(H42:H45)</f>
        <v>5617493</v>
      </c>
      <c r="I41" s="6">
        <v>5957128</v>
      </c>
      <c r="J41" s="6">
        <v>6155563</v>
      </c>
      <c r="K41" s="6">
        <v>5975801</v>
      </c>
      <c r="L41" s="6">
        <v>5771796</v>
      </c>
      <c r="M41" s="6">
        <v>6054457</v>
      </c>
      <c r="N41" s="3"/>
      <c r="O41" s="6">
        <v>17531587</v>
      </c>
      <c r="P41" s="6">
        <v>21915623</v>
      </c>
      <c r="Q41" s="6">
        <v>24121053</v>
      </c>
      <c r="R41" s="22">
        <f>Q41*(1+R11)</f>
        <v>28505118.211417854</v>
      </c>
      <c r="S41" s="22">
        <f>R41*(1+S11)</f>
        <v>33564305.464334913</v>
      </c>
      <c r="T41" s="22">
        <f>S41*(1+T11)</f>
        <v>38709365.448944792</v>
      </c>
      <c r="U41" s="22">
        <f>T41*(1+U11)</f>
        <v>45322547.575022392</v>
      </c>
      <c r="V41" s="22">
        <f>U41*(1+V11)</f>
        <v>52900704.35786061</v>
      </c>
      <c r="W41" s="22">
        <f>V41*(1+W11)</f>
        <v>61564720.889322504</v>
      </c>
      <c r="X41" s="118"/>
    </row>
    <row r="42" spans="2:24" x14ac:dyDescent="0.25">
      <c r="B42" s="23" t="s">
        <v>460</v>
      </c>
      <c r="C42" s="22">
        <v>1232969</v>
      </c>
      <c r="D42" s="23">
        <v>1475707</v>
      </c>
      <c r="E42" s="23">
        <v>1517890</v>
      </c>
      <c r="F42" s="22">
        <v>1422705</v>
      </c>
      <c r="G42" s="22">
        <v>1637654</v>
      </c>
      <c r="H42" s="22">
        <v>1658668</v>
      </c>
      <c r="I42" s="6"/>
      <c r="J42" s="6"/>
      <c r="K42" s="6"/>
      <c r="L42" s="6"/>
      <c r="M42" s="6"/>
      <c r="N42" s="3"/>
      <c r="O42" s="6">
        <v>5701540</v>
      </c>
      <c r="P42" s="6">
        <v>6315301</v>
      </c>
      <c r="Q42" s="6">
        <v>6613680</v>
      </c>
      <c r="R42" s="22"/>
      <c r="S42" s="22"/>
      <c r="T42" s="22"/>
      <c r="U42" s="22"/>
      <c r="V42" s="22"/>
      <c r="W42" s="22"/>
      <c r="X42" s="118"/>
    </row>
    <row r="43" spans="2:24" x14ac:dyDescent="0.25">
      <c r="B43" s="23" t="s">
        <v>461</v>
      </c>
      <c r="C43" s="22">
        <v>959557</v>
      </c>
      <c r="D43" s="23">
        <v>1094856</v>
      </c>
      <c r="E43" s="23">
        <v>1191511</v>
      </c>
      <c r="F43" s="22">
        <v>1366224</v>
      </c>
      <c r="G43" s="22">
        <v>1461497</v>
      </c>
      <c r="H43" s="23">
        <v>1492900</v>
      </c>
      <c r="I43" s="6"/>
      <c r="J43" s="6"/>
      <c r="K43" s="6"/>
      <c r="L43" s="6"/>
      <c r="M43" s="6"/>
      <c r="N43" s="3"/>
      <c r="O43" s="6">
        <v>4552773</v>
      </c>
      <c r="P43" s="6">
        <v>5944842</v>
      </c>
      <c r="Q43" s="6">
        <v>7164799</v>
      </c>
      <c r="R43" s="22"/>
      <c r="S43" s="22"/>
      <c r="T43" s="22"/>
      <c r="U43" s="22"/>
      <c r="V43" s="22"/>
      <c r="W43" s="22"/>
      <c r="X43" s="118"/>
    </row>
    <row r="44" spans="2:24" x14ac:dyDescent="0.25">
      <c r="B44" s="23" t="s">
        <v>462</v>
      </c>
      <c r="C44" s="22">
        <v>37326</v>
      </c>
      <c r="D44" s="23">
        <v>48051</v>
      </c>
      <c r="E44" s="23">
        <v>43388</v>
      </c>
      <c r="F44" s="22">
        <v>37451</v>
      </c>
      <c r="G44" s="22">
        <v>44922</v>
      </c>
      <c r="H44" s="23">
        <v>42341</v>
      </c>
      <c r="I44" s="6"/>
      <c r="J44" s="6"/>
      <c r="K44" s="6"/>
      <c r="L44" s="6"/>
      <c r="M44" s="6"/>
      <c r="N44" s="3"/>
      <c r="O44" s="6">
        <v>164418</v>
      </c>
      <c r="P44" s="6">
        <v>157178</v>
      </c>
      <c r="Q44" s="6">
        <v>143369</v>
      </c>
      <c r="R44" s="22"/>
      <c r="S44" s="22"/>
      <c r="T44" s="22"/>
      <c r="U44" s="22"/>
      <c r="V44" s="22"/>
      <c r="W44" s="22"/>
      <c r="X44" s="118"/>
    </row>
    <row r="45" spans="2:24" x14ac:dyDescent="0.25">
      <c r="B45" s="23" t="s">
        <v>463</v>
      </c>
      <c r="C45" s="22">
        <v>1730793</v>
      </c>
      <c r="D45" s="23">
        <v>1785885</v>
      </c>
      <c r="E45" s="23">
        <v>1762752</v>
      </c>
      <c r="F45" s="22">
        <v>2163751</v>
      </c>
      <c r="G45" s="22">
        <v>2390884</v>
      </c>
      <c r="H45" s="23">
        <v>2423584</v>
      </c>
      <c r="I45" s="6"/>
      <c r="J45" s="6"/>
      <c r="K45" s="6"/>
      <c r="L45" s="6"/>
      <c r="M45" s="6"/>
      <c r="N45" s="3"/>
      <c r="O45" s="6">
        <v>7112856</v>
      </c>
      <c r="P45" s="6">
        <v>9498302</v>
      </c>
      <c r="Q45" s="6">
        <v>10199205</v>
      </c>
      <c r="R45" s="22"/>
      <c r="S45" s="22"/>
      <c r="T45" s="22"/>
      <c r="U45" s="22"/>
      <c r="V45" s="22"/>
      <c r="W45" s="22"/>
      <c r="X45" s="118"/>
    </row>
    <row r="46" spans="2:24" x14ac:dyDescent="0.25">
      <c r="B46" t="s">
        <v>250</v>
      </c>
      <c r="C46" s="22">
        <v>2665685</v>
      </c>
      <c r="D46" s="23">
        <v>2934851</v>
      </c>
      <c r="E46" s="23">
        <v>2948452</v>
      </c>
      <c r="F46" s="22">
        <v>3275547</v>
      </c>
      <c r="G46" s="22">
        <v>3668856</v>
      </c>
      <c r="H46" s="23">
        <v>3719044</v>
      </c>
      <c r="I46" s="6">
        <v>3862655</v>
      </c>
      <c r="J46" s="6">
        <v>3922083</v>
      </c>
      <c r="K46" s="6">
        <v>3726116</v>
      </c>
      <c r="L46" s="6">
        <v>3482193</v>
      </c>
      <c r="M46" s="6">
        <v>3517927</v>
      </c>
      <c r="O46" s="6">
        <v>11539695</v>
      </c>
      <c r="P46" s="6">
        <v>14410737</v>
      </c>
      <c r="Q46" s="6">
        <v>15232017</v>
      </c>
      <c r="R46" s="55">
        <f>R41*0.6</f>
        <v>17103070.92685071</v>
      </c>
      <c r="S46" s="55">
        <f t="shared" ref="S46:V46" si="6">S41*0.6</f>
        <v>20138583.278600946</v>
      </c>
      <c r="T46" s="55">
        <f t="shared" si="6"/>
        <v>23225619.269366875</v>
      </c>
      <c r="U46" s="55">
        <f t="shared" si="6"/>
        <v>27193528.545013435</v>
      </c>
      <c r="V46" s="55">
        <f t="shared" si="6"/>
        <v>31740422.614716366</v>
      </c>
      <c r="W46" s="55">
        <f t="shared" ref="W46" si="7">W41*0.6</f>
        <v>36938832.533593498</v>
      </c>
      <c r="X46" s="119"/>
    </row>
    <row r="47" spans="2:24" x14ac:dyDescent="0.25">
      <c r="B47" s="1" t="s">
        <v>1</v>
      </c>
      <c r="C47" s="103">
        <f t="shared" ref="C47:E47" si="8">C41-C46</f>
        <v>1294960</v>
      </c>
      <c r="D47" s="103">
        <f t="shared" si="8"/>
        <v>1469648</v>
      </c>
      <c r="E47" s="103">
        <f t="shared" si="8"/>
        <v>1567089</v>
      </c>
      <c r="F47" s="103">
        <f t="shared" ref="F47:M47" si="9">F41-F46</f>
        <v>1714584</v>
      </c>
      <c r="G47" s="103">
        <f t="shared" si="9"/>
        <v>1866101</v>
      </c>
      <c r="H47" s="103">
        <f t="shared" si="9"/>
        <v>1898449</v>
      </c>
      <c r="I47" s="103">
        <f t="shared" si="9"/>
        <v>2094473</v>
      </c>
      <c r="J47" s="103">
        <f t="shared" si="9"/>
        <v>2233480</v>
      </c>
      <c r="K47" s="103">
        <f t="shared" si="9"/>
        <v>2249685</v>
      </c>
      <c r="L47" s="103">
        <f t="shared" si="9"/>
        <v>2289603</v>
      </c>
      <c r="M47" s="103">
        <f t="shared" si="9"/>
        <v>2536530</v>
      </c>
      <c r="N47" s="27">
        <v>2600000</v>
      </c>
      <c r="O47" s="103">
        <f t="shared" ref="O47:V47" si="10">O41-O46</f>
        <v>5991892</v>
      </c>
      <c r="P47" s="103">
        <f t="shared" si="10"/>
        <v>7504886</v>
      </c>
      <c r="Q47" s="103">
        <f t="shared" si="10"/>
        <v>8889036</v>
      </c>
      <c r="R47" s="103">
        <f t="shared" si="10"/>
        <v>11402047.284567144</v>
      </c>
      <c r="S47" s="11">
        <f t="shared" si="10"/>
        <v>13425722.185733967</v>
      </c>
      <c r="T47" s="11">
        <f t="shared" si="10"/>
        <v>15483746.179577917</v>
      </c>
      <c r="U47" s="11">
        <f t="shared" si="10"/>
        <v>18129019.030008957</v>
      </c>
      <c r="V47" s="11">
        <f t="shared" si="10"/>
        <v>21160281.743144244</v>
      </c>
      <c r="W47" s="11">
        <f t="shared" ref="W47" si="11">W41-W46</f>
        <v>24625888.355729006</v>
      </c>
      <c r="X47" s="120"/>
    </row>
    <row r="48" spans="2:24" x14ac:dyDescent="0.25">
      <c r="B48" s="21" t="s">
        <v>3</v>
      </c>
      <c r="C48" s="22">
        <f>501562+444149</f>
        <v>945711</v>
      </c>
      <c r="D48" s="21">
        <f>530827+395720</f>
        <v>926547</v>
      </c>
      <c r="E48" s="21"/>
      <c r="F48" s="22">
        <f>496011+432825</f>
        <v>928836</v>
      </c>
      <c r="G48" s="22">
        <f>537607+549293</f>
        <v>1086900</v>
      </c>
      <c r="H48" s="21">
        <f>479381+480885</f>
        <v>960266</v>
      </c>
      <c r="I48" s="55">
        <f>443885+471260</f>
        <v>915145</v>
      </c>
      <c r="J48" s="55">
        <f>507562+473568</f>
        <v>981130</v>
      </c>
      <c r="K48" s="55">
        <f>511755+475855</f>
        <v>987610</v>
      </c>
      <c r="L48" s="55">
        <f>504460+491797</f>
        <v>996257</v>
      </c>
      <c r="M48" s="55">
        <f>549731+449237</f>
        <v>998968</v>
      </c>
      <c r="N48" s="55"/>
      <c r="O48" s="56">
        <f>2057951+1686849</f>
        <v>3744800</v>
      </c>
      <c r="P48" s="6">
        <f>2019009+2209190</f>
        <v>4228199</v>
      </c>
      <c r="Q48" s="6">
        <f>1984265+2149099</f>
        <v>4133364</v>
      </c>
      <c r="R48" s="22">
        <f>R41*R16</f>
        <v>4560818.9138268568</v>
      </c>
      <c r="S48" s="22">
        <f>S41*S16</f>
        <v>5034645.8196502365</v>
      </c>
      <c r="T48" s="22">
        <f>T41*T16</f>
        <v>5806404.8173417188</v>
      </c>
      <c r="U48" s="22">
        <f>U41*U16</f>
        <v>6798382.1362533588</v>
      </c>
      <c r="V48" s="22">
        <f>V41*V16</f>
        <v>7935105.6536790915</v>
      </c>
      <c r="W48" s="22">
        <f>W41*W16</f>
        <v>9234708.1333983745</v>
      </c>
      <c r="X48" s="118"/>
    </row>
    <row r="49" spans="2:24" x14ac:dyDescent="0.25">
      <c r="B49" t="s">
        <v>243</v>
      </c>
      <c r="C49" s="22">
        <v>458224</v>
      </c>
      <c r="D49" s="23">
        <v>524827</v>
      </c>
      <c r="E49" s="23">
        <v>548037</v>
      </c>
      <c r="F49" s="22">
        <v>626937</v>
      </c>
      <c r="G49" s="22">
        <v>694672</v>
      </c>
      <c r="H49" s="23">
        <v>713788</v>
      </c>
      <c r="I49" s="6">
        <f>720574</f>
        <v>720574</v>
      </c>
      <c r="J49" s="6">
        <v>713163</v>
      </c>
      <c r="K49" s="6">
        <f>710983</f>
        <v>710983</v>
      </c>
      <c r="L49" s="6">
        <v>760699</v>
      </c>
      <c r="M49" s="6">
        <v>725288</v>
      </c>
      <c r="N49" s="6"/>
      <c r="O49" s="28">
        <v>2135612</v>
      </c>
      <c r="P49" s="6">
        <f>2720819</f>
        <v>2720819</v>
      </c>
      <c r="Q49" s="6">
        <v>2914415</v>
      </c>
      <c r="R49" s="22">
        <f>R41*R17</f>
        <v>3420614.1853701421</v>
      </c>
      <c r="S49" s="22">
        <f>S41*S17</f>
        <v>4027716.6557201892</v>
      </c>
      <c r="T49" s="22">
        <f>T41*T17</f>
        <v>4645123.8538733749</v>
      </c>
      <c r="U49" s="22">
        <f>U41*U17</f>
        <v>5438705.7090026867</v>
      </c>
      <c r="V49" s="22">
        <f>V41*V17</f>
        <v>6348084.5229432732</v>
      </c>
      <c r="W49" s="22">
        <f>W41*W17</f>
        <v>7387766.5067186998</v>
      </c>
      <c r="X49" s="118"/>
    </row>
    <row r="50" spans="2:24" x14ac:dyDescent="0.25">
      <c r="B50" t="s">
        <v>381</v>
      </c>
      <c r="C50" s="22">
        <v>91150</v>
      </c>
      <c r="D50" s="23">
        <v>156697</v>
      </c>
      <c r="E50">
        <f>485838+395437</f>
        <v>881275</v>
      </c>
      <c r="F50" s="22">
        <v>127896</v>
      </c>
      <c r="G50" s="22">
        <v>179771</v>
      </c>
      <c r="H50" s="23">
        <v>177338</v>
      </c>
      <c r="I50" s="6">
        <v>165729</v>
      </c>
      <c r="J50" s="6">
        <v>191812</v>
      </c>
      <c r="K50" s="6">
        <f>192062</f>
        <v>192062</v>
      </c>
      <c r="L50" s="6">
        <v>169689</v>
      </c>
      <c r="M50" s="6">
        <v>294090</v>
      </c>
      <c r="N50" s="6"/>
      <c r="O50" s="28">
        <v>550683</v>
      </c>
      <c r="P50" s="3">
        <v>660663</v>
      </c>
      <c r="Q50" s="6">
        <v>794221</v>
      </c>
      <c r="R50" s="22">
        <f>R41*R18</f>
        <v>855153.54634253553</v>
      </c>
      <c r="S50" s="22">
        <f>R50*(1+0.1)</f>
        <v>940668.90097678918</v>
      </c>
      <c r="T50" s="22">
        <f t="shared" ref="T50:V50" si="12">S50*(1+0.1)</f>
        <v>1034735.7910744682</v>
      </c>
      <c r="U50" s="22">
        <f t="shared" si="12"/>
        <v>1138209.3701819151</v>
      </c>
      <c r="V50" s="22">
        <f t="shared" si="12"/>
        <v>1252030.3072001068</v>
      </c>
      <c r="W50" s="22">
        <f t="shared" ref="W50" si="13">V50*(1+0.1)</f>
        <v>1377233.3379201177</v>
      </c>
      <c r="X50" s="118"/>
    </row>
    <row r="51" spans="2:24" x14ac:dyDescent="0.25">
      <c r="B51" t="s">
        <v>242</v>
      </c>
      <c r="C51" s="22">
        <f t="shared" ref="C51:E51" si="14">SUM(C48:C50)</f>
        <v>1495085</v>
      </c>
      <c r="D51" s="22">
        <f t="shared" si="14"/>
        <v>1608071</v>
      </c>
      <c r="E51" s="22">
        <f t="shared" si="14"/>
        <v>1429312</v>
      </c>
      <c r="F51" s="22">
        <f t="shared" ref="F51:M51" si="15">SUM(F48:F50)</f>
        <v>1683669</v>
      </c>
      <c r="G51" s="22">
        <f t="shared" si="15"/>
        <v>1961343</v>
      </c>
      <c r="H51" s="22">
        <f t="shared" si="15"/>
        <v>1851392</v>
      </c>
      <c r="I51" s="22">
        <f t="shared" si="15"/>
        <v>1801448</v>
      </c>
      <c r="J51" s="22">
        <f t="shared" si="15"/>
        <v>1886105</v>
      </c>
      <c r="K51" s="22">
        <f t="shared" si="15"/>
        <v>1890655</v>
      </c>
      <c r="L51" s="22">
        <f t="shared" si="15"/>
        <v>1926645</v>
      </c>
      <c r="M51" s="22">
        <f t="shared" si="15"/>
        <v>2018346</v>
      </c>
      <c r="N51" s="22"/>
      <c r="O51" s="22">
        <f t="shared" ref="O51:V51" si="16">SUM(O48:O50)</f>
        <v>6431095</v>
      </c>
      <c r="P51" s="22">
        <f t="shared" si="16"/>
        <v>7609681</v>
      </c>
      <c r="Q51" s="22">
        <f t="shared" si="16"/>
        <v>7842000</v>
      </c>
      <c r="R51" s="22">
        <f t="shared" si="16"/>
        <v>8836586.6455395333</v>
      </c>
      <c r="S51" s="22">
        <f t="shared" si="16"/>
        <v>10003031.376347214</v>
      </c>
      <c r="T51" s="22">
        <f t="shared" si="16"/>
        <v>11486264.462289562</v>
      </c>
      <c r="U51" s="22">
        <f t="shared" si="16"/>
        <v>13375297.21543796</v>
      </c>
      <c r="V51" s="22">
        <f t="shared" si="16"/>
        <v>15535220.483822472</v>
      </c>
      <c r="W51" s="22">
        <f t="shared" ref="W51" si="17">SUM(W48:W50)</f>
        <v>17999707.978037193</v>
      </c>
      <c r="X51" s="118"/>
    </row>
    <row r="52" spans="2:24" x14ac:dyDescent="0.25">
      <c r="B52" s="1" t="s">
        <v>355</v>
      </c>
      <c r="C52" s="11">
        <f t="shared" ref="C52:E52" si="18">C47-C51</f>
        <v>-200125</v>
      </c>
      <c r="D52" s="11">
        <f t="shared" si="18"/>
        <v>-138423</v>
      </c>
      <c r="E52" s="11">
        <f t="shared" si="18"/>
        <v>137777</v>
      </c>
      <c r="F52" s="11">
        <f t="shared" ref="F52:M52" si="19">F47-F51</f>
        <v>30915</v>
      </c>
      <c r="G52" s="11">
        <f t="shared" si="19"/>
        <v>-95242</v>
      </c>
      <c r="H52" s="11">
        <f t="shared" si="19"/>
        <v>47057</v>
      </c>
      <c r="I52" s="11">
        <f t="shared" si="19"/>
        <v>293025</v>
      </c>
      <c r="J52" s="11">
        <f t="shared" si="19"/>
        <v>347375</v>
      </c>
      <c r="K52" s="11">
        <f t="shared" si="19"/>
        <v>359030</v>
      </c>
      <c r="L52" s="11">
        <f t="shared" si="19"/>
        <v>362958</v>
      </c>
      <c r="M52" s="11">
        <f t="shared" si="19"/>
        <v>518184</v>
      </c>
      <c r="N52" s="11"/>
      <c r="O52" s="11">
        <f t="shared" ref="O52:V52" si="20">O47-O51</f>
        <v>-439203</v>
      </c>
      <c r="P52" s="11">
        <f t="shared" si="20"/>
        <v>-104795</v>
      </c>
      <c r="Q52" s="11">
        <f t="shared" si="20"/>
        <v>1047036</v>
      </c>
      <c r="R52" s="11">
        <f t="shared" si="20"/>
        <v>2565460.6390276104</v>
      </c>
      <c r="S52" s="11">
        <f t="shared" si="20"/>
        <v>3422690.8093867525</v>
      </c>
      <c r="T52" s="11">
        <f t="shared" si="20"/>
        <v>3997481.7172883544</v>
      </c>
      <c r="U52" s="11">
        <f t="shared" si="20"/>
        <v>4753721.8145709969</v>
      </c>
      <c r="V52" s="11">
        <f t="shared" si="20"/>
        <v>5625061.2593217716</v>
      </c>
      <c r="W52" s="11">
        <f t="shared" ref="W52" si="21">W47-W51</f>
        <v>6626180.3776918128</v>
      </c>
      <c r="X52" s="120"/>
    </row>
    <row r="53" spans="2:24" x14ac:dyDescent="0.25">
      <c r="B53" t="s">
        <v>382</v>
      </c>
      <c r="C53" s="22">
        <v>-15748</v>
      </c>
      <c r="D53">
        <v>-12966</v>
      </c>
      <c r="E53">
        <v>-6042</v>
      </c>
      <c r="F53" s="22">
        <v>3161</v>
      </c>
      <c r="G53" s="22">
        <v>3944</v>
      </c>
      <c r="H53" s="22">
        <v>21415</v>
      </c>
      <c r="I53" s="28">
        <v>18745</v>
      </c>
      <c r="J53" s="28">
        <v>1871</v>
      </c>
      <c r="K53" s="28">
        <v>-13811</v>
      </c>
      <c r="L53" s="28">
        <v>-17243</v>
      </c>
      <c r="M53" s="28">
        <v>-23687</v>
      </c>
      <c r="N53" s="28"/>
      <c r="O53" s="28">
        <v>-36228</v>
      </c>
      <c r="P53" s="28">
        <v>47221</v>
      </c>
      <c r="Q53" s="28">
        <v>-9302</v>
      </c>
      <c r="R53" s="22">
        <f>AVERAGE(I53:M53)</f>
        <v>-6825</v>
      </c>
      <c r="S53" s="22">
        <f>AVERAGE(O53:R53)</f>
        <v>-1283.5</v>
      </c>
      <c r="T53" s="22">
        <f t="shared" ref="T53:V53" si="22">AVERAGE(P53:S53)</f>
        <v>7452.625</v>
      </c>
      <c r="U53" s="22">
        <f t="shared" si="22"/>
        <v>-2489.46875</v>
      </c>
      <c r="V53" s="22">
        <f t="shared" si="22"/>
        <v>-786.3359375</v>
      </c>
      <c r="W53" s="22">
        <f t="shared" ref="W53" si="23">AVERAGE(S53:V53)</f>
        <v>723.330078125</v>
      </c>
      <c r="X53" s="118"/>
    </row>
    <row r="54" spans="2:24" x14ac:dyDescent="0.25">
      <c r="B54" t="s">
        <v>383</v>
      </c>
      <c r="C54" s="22">
        <v>-33472</v>
      </c>
      <c r="D54">
        <v>18766</v>
      </c>
      <c r="E54">
        <v>18798</v>
      </c>
      <c r="F54" s="22">
        <v>-18371</v>
      </c>
      <c r="G54" s="22">
        <v>-1379</v>
      </c>
      <c r="H54" s="22">
        <v>4262</v>
      </c>
      <c r="I54" s="28">
        <v>4420</v>
      </c>
      <c r="J54" s="28">
        <v>10584</v>
      </c>
      <c r="K54" s="6">
        <v>14949</v>
      </c>
      <c r="L54" s="6">
        <v>8342</v>
      </c>
      <c r="M54" s="28">
        <v>-13389</v>
      </c>
      <c r="N54" s="28"/>
      <c r="O54" s="6">
        <v>95443</v>
      </c>
      <c r="P54" s="28">
        <v>-4609</v>
      </c>
      <c r="Q54" s="6">
        <v>53211</v>
      </c>
      <c r="R54" s="22">
        <f>Q54*(1+0.05)</f>
        <v>55871.55</v>
      </c>
      <c r="S54" s="22">
        <f t="shared" ref="S54" si="24">R54*(1+0.05)</f>
        <v>58665.127500000002</v>
      </c>
      <c r="T54" s="22">
        <f t="shared" ref="T54" si="25">S54*(1+0.05)</f>
        <v>61598.383875000007</v>
      </c>
      <c r="U54" s="22">
        <f t="shared" ref="U54" si="26">T54*(1+0.05)</f>
        <v>64678.303068750007</v>
      </c>
      <c r="V54" s="22">
        <f t="shared" ref="V54" si="27">U54*(1+0.05)</f>
        <v>67912.218222187512</v>
      </c>
      <c r="W54" s="22">
        <f t="shared" ref="W54" si="28">V54*(1+0.05)</f>
        <v>71307.829133296895</v>
      </c>
      <c r="X54" s="118"/>
    </row>
    <row r="55" spans="2:24" x14ac:dyDescent="0.25">
      <c r="B55" s="1" t="s">
        <v>495</v>
      </c>
      <c r="C55" s="11">
        <f t="shared" ref="C55:E55" si="29">C52+SUM(C53:C54)</f>
        <v>-249345</v>
      </c>
      <c r="D55" s="11">
        <f t="shared" si="29"/>
        <v>-132623</v>
      </c>
      <c r="E55" s="11">
        <f t="shared" si="29"/>
        <v>150533</v>
      </c>
      <c r="F55" s="11">
        <f>F52+SUM(F53:F54)</f>
        <v>15705</v>
      </c>
      <c r="G55" s="11">
        <f>G52+SUM(G53:G54)</f>
        <v>-92677</v>
      </c>
      <c r="H55" s="11">
        <f>H52+SUM(H53:H54)</f>
        <v>72734</v>
      </c>
      <c r="I55" s="11">
        <f>I52+SUM(I53:I54)</f>
        <v>316190</v>
      </c>
      <c r="J55" s="11">
        <f>J52+SUM(J53:J54)</f>
        <v>359830</v>
      </c>
      <c r="K55" s="11">
        <f t="shared" ref="K55:M55" si="30">K52+SUM(K53:K54)</f>
        <v>360168</v>
      </c>
      <c r="L55" s="11">
        <f t="shared" si="30"/>
        <v>354057</v>
      </c>
      <c r="M55" s="11">
        <f t="shared" si="30"/>
        <v>481108</v>
      </c>
      <c r="N55" s="11"/>
      <c r="O55" s="11">
        <f t="shared" ref="O55:V55" si="31">O52+SUM(O53:O54)</f>
        <v>-379988</v>
      </c>
      <c r="P55" s="11">
        <f t="shared" si="31"/>
        <v>-62183</v>
      </c>
      <c r="Q55" s="11">
        <f t="shared" si="31"/>
        <v>1090945</v>
      </c>
      <c r="R55" s="11">
        <f t="shared" si="31"/>
        <v>2614507.1890276102</v>
      </c>
      <c r="S55" s="11">
        <f t="shared" si="31"/>
        <v>3480072.4368867525</v>
      </c>
      <c r="T55" s="11">
        <f t="shared" si="31"/>
        <v>4066532.7261633542</v>
      </c>
      <c r="U55" s="11">
        <f t="shared" si="31"/>
        <v>4815910.6488897465</v>
      </c>
      <c r="V55" s="11">
        <f t="shared" si="31"/>
        <v>5692187.1416064594</v>
      </c>
      <c r="W55" s="11">
        <f t="shared" ref="W55" si="32">W52+SUM(W53:W54)</f>
        <v>6698211.5369032351</v>
      </c>
      <c r="X55" s="120"/>
    </row>
    <row r="56" spans="2:24" x14ac:dyDescent="0.25">
      <c r="B56" t="s">
        <v>5</v>
      </c>
      <c r="C56" s="22">
        <v>-1702</v>
      </c>
      <c r="D56">
        <v>-1304</v>
      </c>
      <c r="E56">
        <v>17289</v>
      </c>
      <c r="F56" s="22">
        <v>-2056</v>
      </c>
      <c r="G56" s="22">
        <v>3700</v>
      </c>
      <c r="H56" s="22">
        <v>-49529</v>
      </c>
      <c r="I56" s="28">
        <v>-35492</v>
      </c>
      <c r="J56" s="28">
        <v>-59029</v>
      </c>
      <c r="K56" s="28">
        <v>-43011</v>
      </c>
      <c r="L56" s="28">
        <v>-38328</v>
      </c>
      <c r="M56" s="28">
        <v>-121048</v>
      </c>
      <c r="N56" s="28"/>
      <c r="O56" s="6">
        <v>12312</v>
      </c>
      <c r="P56" s="6">
        <v>8019</v>
      </c>
      <c r="Q56" s="6">
        <v>1509343</v>
      </c>
      <c r="R56" s="22">
        <f>R55*-R19</f>
        <v>-395089.39903830289</v>
      </c>
      <c r="S56" s="22">
        <f>S55*-S19</f>
        <v>-525888.67740337632</v>
      </c>
      <c r="T56" s="22">
        <f>T55*-T19</f>
        <v>-614511.20796000387</v>
      </c>
      <c r="U56" s="22">
        <f>U55*-U19</f>
        <v>-727752.92111538339</v>
      </c>
      <c r="V56" s="22">
        <f>V55*-V19</f>
        <v>-860170.82164814102</v>
      </c>
      <c r="W56" s="22">
        <f>W55*-W19</f>
        <v>-1012195.48443115</v>
      </c>
      <c r="X56" s="118"/>
    </row>
    <row r="57" spans="2:24" x14ac:dyDescent="0.25">
      <c r="B57" s="13" t="s">
        <v>4</v>
      </c>
      <c r="C57" s="104">
        <f t="shared" ref="C57:H57" si="33">C55+C56</f>
        <v>-251047</v>
      </c>
      <c r="D57" s="104">
        <f t="shared" si="33"/>
        <v>-133927</v>
      </c>
      <c r="E57" s="104">
        <f t="shared" si="33"/>
        <v>167822</v>
      </c>
      <c r="F57" s="12">
        <f t="shared" si="33"/>
        <v>13649</v>
      </c>
      <c r="G57" s="12">
        <f t="shared" si="33"/>
        <v>-88977</v>
      </c>
      <c r="H57" s="12">
        <f t="shared" si="33"/>
        <v>23205</v>
      </c>
      <c r="I57" s="12">
        <f>I55+I56</f>
        <v>280698</v>
      </c>
      <c r="J57" s="12">
        <f>J55+J56</f>
        <v>300801</v>
      </c>
      <c r="K57" s="12">
        <f>K55+K56</f>
        <v>317157</v>
      </c>
      <c r="L57" s="12">
        <f>L55+L56</f>
        <v>315729</v>
      </c>
      <c r="M57" s="12">
        <f>M55+M56</f>
        <v>360060</v>
      </c>
      <c r="N57" s="12"/>
      <c r="O57" s="12">
        <f>O55+O56</f>
        <v>-367676</v>
      </c>
      <c r="P57" s="12">
        <f>P55+P56</f>
        <v>-54164</v>
      </c>
      <c r="Q57" s="12">
        <f>Q55+Q56</f>
        <v>2600288</v>
      </c>
      <c r="R57" s="12">
        <f>R55+R56</f>
        <v>2219417.7899893075</v>
      </c>
      <c r="S57" s="12">
        <f t="shared" ref="S57" si="34">S55+S56</f>
        <v>2954183.7594833761</v>
      </c>
      <c r="T57" s="12">
        <f t="shared" ref="T57:V57" si="35">T55+T56</f>
        <v>3452021.5182033502</v>
      </c>
      <c r="U57" s="12">
        <f t="shared" si="35"/>
        <v>4088157.727774363</v>
      </c>
      <c r="V57" s="12">
        <f t="shared" si="35"/>
        <v>4832016.319958318</v>
      </c>
      <c r="W57" s="12">
        <f t="shared" ref="W57" si="36">W55+W56</f>
        <v>5686016.0524720848</v>
      </c>
      <c r="X57" s="120"/>
    </row>
    <row r="58" spans="2:24" x14ac:dyDescent="0.25">
      <c r="B58" s="1"/>
      <c r="C58" s="1"/>
      <c r="D58" s="1"/>
      <c r="E58" s="1"/>
      <c r="F58" s="1"/>
      <c r="G58" s="1"/>
      <c r="H58" s="1"/>
      <c r="I58" s="11"/>
      <c r="J58" s="11"/>
      <c r="K58" s="11"/>
      <c r="L58" s="11"/>
      <c r="M58" s="11"/>
      <c r="N58" s="11"/>
      <c r="O58" s="6"/>
      <c r="P58" s="6"/>
      <c r="Q58" s="6"/>
      <c r="R58" s="22"/>
      <c r="X58" s="121"/>
    </row>
    <row r="59" spans="2:24" x14ac:dyDescent="0.25">
      <c r="B59" t="s">
        <v>404</v>
      </c>
      <c r="C59" s="22">
        <f t="shared" ref="C59:I59" si="37">60072+559742</f>
        <v>619814</v>
      </c>
      <c r="D59" s="22">
        <f t="shared" si="37"/>
        <v>619814</v>
      </c>
      <c r="E59" s="22">
        <f t="shared" si="37"/>
        <v>619814</v>
      </c>
      <c r="F59" s="22">
        <f t="shared" si="37"/>
        <v>619814</v>
      </c>
      <c r="G59" s="22">
        <f t="shared" si="37"/>
        <v>619814</v>
      </c>
      <c r="H59" s="22">
        <f t="shared" si="37"/>
        <v>619814</v>
      </c>
      <c r="I59" s="22">
        <f t="shared" si="37"/>
        <v>619814</v>
      </c>
      <c r="J59" s="22">
        <f>60072+559742</f>
        <v>619814</v>
      </c>
      <c r="K59" s="22">
        <f>60072+559742</f>
        <v>619814</v>
      </c>
      <c r="L59" s="22">
        <f>60018+555001</f>
        <v>615019</v>
      </c>
      <c r="M59" s="22">
        <f>60010+549574</f>
        <v>609584</v>
      </c>
      <c r="N59" s="6"/>
      <c r="O59" s="6">
        <f>518361.474+61696.578</f>
        <v>580058.05200000003</v>
      </c>
      <c r="P59" s="6">
        <f>541390.152+60635.933</f>
        <v>602026.08499999996</v>
      </c>
      <c r="Q59" s="6">
        <f>60513+555180</f>
        <v>615693</v>
      </c>
      <c r="R59">
        <f>60049+559431</f>
        <v>619480</v>
      </c>
      <c r="S59" s="59">
        <f>R59*(1.01)</f>
        <v>625674.80000000005</v>
      </c>
      <c r="T59" s="59">
        <f t="shared" ref="T59:V59" si="38">S59*(1.01)</f>
        <v>631931.54800000007</v>
      </c>
      <c r="U59" s="59">
        <f t="shared" si="38"/>
        <v>638250.86348000006</v>
      </c>
      <c r="V59" s="59">
        <f t="shared" si="38"/>
        <v>644633.37211480003</v>
      </c>
      <c r="W59" s="59">
        <f t="shared" ref="W59" si="39">V59*(1.01)</f>
        <v>651079.705835948</v>
      </c>
      <c r="X59" s="122"/>
    </row>
    <row r="60" spans="2:24" x14ac:dyDescent="0.25">
      <c r="B60" t="s">
        <v>240</v>
      </c>
      <c r="C60" s="69">
        <f t="shared" ref="C60:I60" si="40">C57/C59</f>
        <v>-0.40503602693711338</v>
      </c>
      <c r="D60" s="69">
        <f t="shared" si="40"/>
        <v>-0.21607611315652761</v>
      </c>
      <c r="E60" s="69">
        <f t="shared" si="40"/>
        <v>0.27076187372340732</v>
      </c>
      <c r="F60" s="69">
        <f t="shared" si="40"/>
        <v>2.2021122465771991E-2</v>
      </c>
      <c r="G60" s="69">
        <f t="shared" si="40"/>
        <v>-0.14355435662956953</v>
      </c>
      <c r="H60" s="69">
        <f t="shared" si="40"/>
        <v>3.7438650950123747E-2</v>
      </c>
      <c r="I60" s="69">
        <f t="shared" si="40"/>
        <v>0.45287457204903409</v>
      </c>
      <c r="J60" s="69">
        <f t="shared" ref="J60:K60" si="41">J57/J59</f>
        <v>0.48530849577453883</v>
      </c>
      <c r="K60" s="69">
        <f t="shared" si="41"/>
        <v>0.51169705750434813</v>
      </c>
      <c r="L60" s="69">
        <f t="shared" ref="L60" si="42">L57/L59</f>
        <v>0.51336462775946756</v>
      </c>
      <c r="M60" s="69">
        <f t="shared" ref="M60:Q60" si="43">M57/M59</f>
        <v>0.59066510932045457</v>
      </c>
      <c r="N60" s="22"/>
      <c r="O60" s="69">
        <f t="shared" si="43"/>
        <v>-0.63386069503264131</v>
      </c>
      <c r="P60" s="69">
        <f t="shared" si="43"/>
        <v>-8.9969523496643847E-2</v>
      </c>
      <c r="Q60" s="69">
        <f t="shared" si="43"/>
        <v>4.2233515729430087</v>
      </c>
      <c r="R60" s="69">
        <f>R57/R59</f>
        <v>3.582710967245605</v>
      </c>
      <c r="S60" s="69">
        <f t="shared" ref="S60" si="44">S57/S59</f>
        <v>4.7215962021858253</v>
      </c>
      <c r="T60" s="69">
        <f t="shared" ref="T60:V60" si="45">T57/T59</f>
        <v>5.4626510246697633</v>
      </c>
      <c r="U60" s="69">
        <f t="shared" si="45"/>
        <v>6.4052521691613311</v>
      </c>
      <c r="V60" s="69">
        <f t="shared" si="45"/>
        <v>7.4957588747015791</v>
      </c>
      <c r="W60" s="69">
        <f t="shared" ref="W60" si="46">W57/W59</f>
        <v>8.7332103911480008</v>
      </c>
      <c r="X60" s="69"/>
    </row>
    <row r="61" spans="2:24" x14ac:dyDescent="0.25">
      <c r="B61" s="1"/>
      <c r="C61" s="1"/>
      <c r="D61" s="1"/>
      <c r="E61" s="1"/>
      <c r="F61" s="1"/>
      <c r="G61" s="1"/>
      <c r="H61" s="1"/>
      <c r="I61" s="75"/>
      <c r="J61" s="75"/>
      <c r="K61" s="75"/>
      <c r="L61" s="75"/>
      <c r="M61" s="75"/>
      <c r="N61" s="1"/>
      <c r="O61" s="27"/>
      <c r="P61" s="27"/>
      <c r="Q61" s="27"/>
    </row>
    <row r="62" spans="2:24" x14ac:dyDescent="0.25">
      <c r="B62" s="9"/>
      <c r="C62" s="9"/>
      <c r="D62" s="9"/>
      <c r="E62" s="9"/>
      <c r="F62" s="9"/>
      <c r="G62" s="9"/>
      <c r="H62" s="9"/>
      <c r="I62" s="9"/>
      <c r="J62" s="9"/>
      <c r="K62" s="9"/>
      <c r="L62" s="9"/>
      <c r="M62" s="9"/>
      <c r="N62" s="9"/>
      <c r="O62" s="6"/>
      <c r="P62" s="6"/>
      <c r="Q62" s="29"/>
    </row>
    <row r="63" spans="2:24" x14ac:dyDescent="0.25">
      <c r="B63" s="9"/>
      <c r="C63" s="9"/>
      <c r="D63" s="9"/>
      <c r="E63" s="9"/>
      <c r="F63" s="9"/>
      <c r="G63" s="9"/>
      <c r="H63" s="9"/>
      <c r="I63" s="9"/>
      <c r="J63" s="9"/>
      <c r="K63" s="9"/>
      <c r="L63" s="9"/>
      <c r="M63" s="9"/>
      <c r="N63" s="9"/>
      <c r="O63" s="6"/>
      <c r="P63" s="6"/>
      <c r="Q63" s="26"/>
    </row>
    <row r="66" spans="2:21" ht="23.25" x14ac:dyDescent="0.35">
      <c r="B66" s="41" t="s">
        <v>7</v>
      </c>
      <c r="C66" s="41"/>
      <c r="D66" s="41"/>
      <c r="E66" s="41"/>
      <c r="F66" s="41"/>
      <c r="G66" s="41"/>
      <c r="H66" s="41"/>
      <c r="I66" s="41"/>
      <c r="J66" s="41"/>
      <c r="K66" s="41"/>
      <c r="L66" s="41"/>
      <c r="M66" s="41"/>
      <c r="N66" s="41"/>
      <c r="O66" s="40"/>
      <c r="P66" s="40"/>
      <c r="Q66" s="40"/>
      <c r="R66" s="40"/>
      <c r="S66" s="40"/>
      <c r="T66" s="40"/>
      <c r="U66" s="40"/>
    </row>
    <row r="67" spans="2:21" x14ac:dyDescent="0.25">
      <c r="B67" s="43"/>
      <c r="C67" s="43"/>
      <c r="D67" s="43"/>
      <c r="E67" s="43"/>
      <c r="F67" s="43"/>
      <c r="G67" s="43"/>
      <c r="H67" s="43"/>
      <c r="I67" s="43"/>
      <c r="J67" s="43"/>
      <c r="K67" s="43"/>
      <c r="L67" s="43"/>
      <c r="M67" s="43"/>
      <c r="N67" s="43"/>
      <c r="O67" s="42">
        <v>44926</v>
      </c>
      <c r="P67" s="42">
        <f t="shared" ref="P67:U67" si="47">EOMONTH(O67,12)</f>
        <v>45291</v>
      </c>
      <c r="Q67" s="42">
        <f t="shared" si="47"/>
        <v>45657</v>
      </c>
      <c r="R67" s="42">
        <f t="shared" si="47"/>
        <v>46022</v>
      </c>
      <c r="S67" s="42">
        <f t="shared" si="47"/>
        <v>46387</v>
      </c>
      <c r="T67" s="42">
        <f t="shared" si="47"/>
        <v>46752</v>
      </c>
      <c r="U67" s="42">
        <f t="shared" si="47"/>
        <v>47118</v>
      </c>
    </row>
    <row r="68" spans="2:21" x14ac:dyDescent="0.25">
      <c r="B68" s="1" t="s">
        <v>28</v>
      </c>
      <c r="C68" s="1"/>
      <c r="D68" s="1"/>
      <c r="E68" s="1"/>
      <c r="F68" s="1"/>
      <c r="G68" s="1"/>
      <c r="H68" s="1"/>
      <c r="I68" s="1"/>
      <c r="J68" s="1"/>
      <c r="K68" s="1"/>
      <c r="L68" s="1"/>
      <c r="M68" s="1"/>
      <c r="N68" s="1"/>
      <c r="O68" s="8"/>
      <c r="P68" s="8"/>
      <c r="Q68" s="8"/>
      <c r="R68" s="8"/>
      <c r="S68" s="8"/>
    </row>
    <row r="69" spans="2:21" x14ac:dyDescent="0.25">
      <c r="B69" s="7" t="s">
        <v>8</v>
      </c>
      <c r="C69" s="7"/>
      <c r="D69" s="7"/>
      <c r="E69" s="7"/>
      <c r="F69" s="7"/>
      <c r="G69" s="7"/>
      <c r="H69" s="7"/>
      <c r="I69" s="7"/>
      <c r="J69" s="7"/>
      <c r="K69" s="7"/>
      <c r="L69" s="7"/>
      <c r="M69" s="7"/>
      <c r="N69" s="7"/>
      <c r="O69" s="22">
        <f>O179</f>
        <v>4544202</v>
      </c>
      <c r="P69" s="4">
        <v>4996465</v>
      </c>
      <c r="Q69" s="4">
        <v>8075247</v>
      </c>
    </row>
    <row r="70" spans="2:21" x14ac:dyDescent="0.25">
      <c r="B70" s="7" t="s">
        <v>9</v>
      </c>
      <c r="C70" s="7"/>
      <c r="D70" s="7"/>
      <c r="E70" s="7"/>
      <c r="F70" s="7"/>
      <c r="G70" s="7"/>
      <c r="H70" s="7"/>
      <c r="I70" s="7"/>
      <c r="J70" s="7"/>
      <c r="K70" s="7"/>
      <c r="L70" s="7"/>
      <c r="M70" s="7"/>
      <c r="N70" s="7"/>
      <c r="P70" s="4">
        <v>851901</v>
      </c>
      <c r="Q70" s="4">
        <v>403426</v>
      </c>
    </row>
    <row r="71" spans="2:21" x14ac:dyDescent="0.25">
      <c r="B71" s="7" t="s">
        <v>10</v>
      </c>
      <c r="C71" s="7"/>
      <c r="D71" s="7"/>
      <c r="E71" s="7"/>
      <c r="F71" s="7"/>
      <c r="G71" s="7"/>
      <c r="H71" s="7"/>
      <c r="I71" s="7"/>
      <c r="J71" s="7"/>
      <c r="K71" s="7"/>
      <c r="L71" s="7"/>
      <c r="M71" s="7"/>
      <c r="N71" s="7"/>
      <c r="P71" s="48">
        <f>3226294+2444695</f>
        <v>5670989</v>
      </c>
      <c r="Q71" s="48">
        <f>1060966+2504879</f>
        <v>3565845</v>
      </c>
    </row>
    <row r="72" spans="2:21" x14ac:dyDescent="0.25">
      <c r="B72" s="7" t="s">
        <v>13</v>
      </c>
      <c r="C72" s="7"/>
      <c r="D72" s="7"/>
      <c r="E72" s="7"/>
      <c r="F72" s="7"/>
      <c r="G72" s="7"/>
      <c r="H72" s="7"/>
      <c r="I72" s="7"/>
      <c r="J72" s="7"/>
      <c r="K72" s="7"/>
      <c r="L72" s="7"/>
      <c r="M72" s="7"/>
      <c r="N72" s="7"/>
      <c r="P72" s="4">
        <v>775424</v>
      </c>
      <c r="Q72" s="4">
        <v>1111107</v>
      </c>
    </row>
    <row r="73" spans="2:21" x14ac:dyDescent="0.25">
      <c r="B73" s="7" t="s">
        <v>11</v>
      </c>
      <c r="C73" s="7"/>
      <c r="D73" s="7"/>
      <c r="E73" s="7"/>
      <c r="F73" s="7"/>
      <c r="G73" s="7"/>
      <c r="H73" s="7"/>
      <c r="I73" s="7"/>
      <c r="J73" s="7"/>
      <c r="K73" s="7"/>
      <c r="L73" s="7"/>
      <c r="M73" s="7"/>
      <c r="N73" s="7"/>
      <c r="P73" s="4">
        <f>3170430+2353488</f>
        <v>5523918</v>
      </c>
      <c r="Q73" s="4">
        <f>2541704+4182872</f>
        <v>6724576</v>
      </c>
    </row>
    <row r="74" spans="2:21" x14ac:dyDescent="0.25">
      <c r="B74" s="2" t="s">
        <v>12</v>
      </c>
      <c r="C74" s="2"/>
      <c r="D74" s="2"/>
      <c r="E74" s="2"/>
      <c r="F74" s="2"/>
      <c r="G74" s="2"/>
      <c r="H74" s="2"/>
      <c r="I74" s="2"/>
      <c r="J74" s="2"/>
      <c r="K74" s="2"/>
      <c r="L74" s="2"/>
      <c r="M74" s="2"/>
      <c r="N74" s="2"/>
      <c r="O74" s="20"/>
      <c r="P74" s="10">
        <f>SUM(P69:P73)</f>
        <v>17818697</v>
      </c>
      <c r="Q74" s="10">
        <f>SUM(Q69:Q73)</f>
        <v>19880201</v>
      </c>
      <c r="R74" s="20"/>
      <c r="S74" s="20"/>
    </row>
    <row r="75" spans="2:21" x14ac:dyDescent="0.25">
      <c r="P75" s="3"/>
    </row>
    <row r="76" spans="2:21" x14ac:dyDescent="0.25">
      <c r="B76" s="1" t="s">
        <v>29</v>
      </c>
      <c r="C76" s="1"/>
      <c r="D76" s="1"/>
      <c r="E76" s="1"/>
      <c r="F76" s="1"/>
      <c r="G76" s="1"/>
      <c r="H76" s="1"/>
      <c r="I76" s="1"/>
      <c r="J76" s="1"/>
      <c r="K76" s="1"/>
      <c r="L76" s="1"/>
      <c r="M76" s="1"/>
      <c r="N76" s="1"/>
    </row>
    <row r="77" spans="2:21" x14ac:dyDescent="0.25">
      <c r="B77" s="7" t="s">
        <v>14</v>
      </c>
      <c r="C77" s="7"/>
      <c r="D77" s="7"/>
      <c r="E77" s="7"/>
      <c r="F77" s="7"/>
      <c r="G77" s="7"/>
      <c r="H77" s="7"/>
      <c r="I77" s="7"/>
      <c r="J77" s="7"/>
      <c r="K77" s="7"/>
      <c r="L77" s="7"/>
      <c r="M77" s="7"/>
      <c r="N77" s="7"/>
      <c r="P77" s="4">
        <v>296056</v>
      </c>
      <c r="Q77" s="4">
        <v>314432</v>
      </c>
    </row>
    <row r="78" spans="2:21" x14ac:dyDescent="0.25">
      <c r="B78" s="7" t="s">
        <v>15</v>
      </c>
      <c r="C78" s="7"/>
      <c r="D78" s="7"/>
      <c r="E78" s="7"/>
      <c r="F78" s="7"/>
      <c r="G78" s="7"/>
      <c r="H78" s="7"/>
      <c r="I78" s="7"/>
      <c r="J78" s="7"/>
      <c r="K78" s="7"/>
      <c r="L78" s="7"/>
      <c r="M78" s="7"/>
      <c r="N78" s="7"/>
      <c r="P78" s="4">
        <v>11919720</v>
      </c>
      <c r="Q78" s="4">
        <v>11417422</v>
      </c>
    </row>
    <row r="79" spans="2:21" x14ac:dyDescent="0.25">
      <c r="B79" s="7" t="s">
        <v>19</v>
      </c>
      <c r="C79" s="7"/>
      <c r="D79" s="7"/>
      <c r="E79" s="7"/>
      <c r="F79" s="7"/>
      <c r="G79" s="7"/>
      <c r="H79" s="7"/>
      <c r="I79" s="7"/>
      <c r="J79" s="7"/>
      <c r="K79" s="7"/>
      <c r="L79" s="7"/>
      <c r="M79" s="7"/>
      <c r="N79" s="7"/>
      <c r="P79" s="4">
        <v>1761521</v>
      </c>
      <c r="Q79" s="4">
        <v>1433067</v>
      </c>
    </row>
    <row r="80" spans="2:21" x14ac:dyDescent="0.25">
      <c r="B80" s="7" t="s">
        <v>16</v>
      </c>
      <c r="C80" s="7"/>
      <c r="D80" s="7"/>
      <c r="E80" s="7"/>
      <c r="F80" s="7"/>
      <c r="G80" s="7"/>
      <c r="H80" s="7"/>
      <c r="I80" s="7"/>
      <c r="J80" s="7"/>
      <c r="K80" s="7"/>
      <c r="L80" s="7"/>
      <c r="M80" s="7"/>
      <c r="N80" s="7"/>
      <c r="P80" s="4">
        <v>251127</v>
      </c>
      <c r="Q80" s="4">
        <v>471977</v>
      </c>
    </row>
    <row r="81" spans="2:19" x14ac:dyDescent="0.25">
      <c r="B81" s="7" t="s">
        <v>244</v>
      </c>
      <c r="C81" s="7"/>
      <c r="D81" s="7"/>
      <c r="E81" s="7"/>
      <c r="F81" s="7"/>
      <c r="G81" s="7"/>
      <c r="H81" s="7"/>
      <c r="I81" s="7"/>
      <c r="J81" s="7"/>
      <c r="K81" s="7"/>
      <c r="L81" s="7"/>
      <c r="M81" s="7"/>
      <c r="N81" s="7"/>
      <c r="P81" s="4">
        <v>244701</v>
      </c>
      <c r="Q81" s="4">
        <v>219954</v>
      </c>
    </row>
    <row r="82" spans="2:19" x14ac:dyDescent="0.25">
      <c r="B82" s="7" t="s">
        <v>18</v>
      </c>
      <c r="C82" s="7"/>
      <c r="D82" s="7"/>
      <c r="E82" s="7"/>
      <c r="F82" s="7"/>
      <c r="G82" s="7"/>
      <c r="H82" s="7"/>
      <c r="I82" s="7"/>
      <c r="J82" s="7"/>
      <c r="K82" s="7"/>
      <c r="L82" s="7"/>
      <c r="M82" s="7"/>
      <c r="N82" s="7"/>
      <c r="P82" s="48">
        <f>730089+9397</f>
        <v>739486</v>
      </c>
      <c r="Q82" s="48">
        <f>1800994+1239548</f>
        <v>3040542</v>
      </c>
    </row>
    <row r="83" spans="2:19" x14ac:dyDescent="0.25">
      <c r="B83" s="2" t="s">
        <v>17</v>
      </c>
      <c r="C83" s="2"/>
      <c r="D83" s="2"/>
      <c r="E83" s="2"/>
      <c r="F83" s="2"/>
      <c r="G83" s="2"/>
      <c r="H83" s="2"/>
      <c r="I83" s="2"/>
      <c r="J83" s="2"/>
      <c r="K83" s="2"/>
      <c r="L83" s="2"/>
      <c r="M83" s="2"/>
      <c r="N83" s="2"/>
      <c r="O83" s="20"/>
      <c r="P83" s="10">
        <f>P74+SUM(P77:P82)</f>
        <v>33031308</v>
      </c>
      <c r="Q83" s="10">
        <f>Q74+SUM(Q77:Q82)</f>
        <v>36777595</v>
      </c>
      <c r="R83" s="20"/>
      <c r="S83" s="20"/>
    </row>
    <row r="85" spans="2:19" x14ac:dyDescent="0.25">
      <c r="B85" s="1" t="s">
        <v>22</v>
      </c>
      <c r="C85" s="1"/>
      <c r="D85" s="1"/>
      <c r="E85" s="1"/>
      <c r="F85" s="1"/>
      <c r="G85" s="1"/>
      <c r="H85" s="1"/>
      <c r="I85" s="1"/>
      <c r="J85" s="1"/>
      <c r="K85" s="1"/>
      <c r="L85" s="1"/>
      <c r="M85" s="1"/>
      <c r="N85" s="1"/>
    </row>
    <row r="86" spans="2:19" x14ac:dyDescent="0.25">
      <c r="B86" s="7" t="s">
        <v>23</v>
      </c>
      <c r="C86" s="7"/>
      <c r="D86" s="7"/>
      <c r="E86" s="7"/>
      <c r="F86" s="7"/>
      <c r="G86" s="7"/>
      <c r="H86" s="7"/>
      <c r="I86" s="7"/>
      <c r="J86" s="7"/>
      <c r="K86" s="7"/>
      <c r="L86" s="7"/>
      <c r="M86" s="7"/>
      <c r="N86" s="7"/>
      <c r="P86" s="4">
        <v>6795340</v>
      </c>
      <c r="Q86" s="4">
        <v>5837152</v>
      </c>
    </row>
    <row r="87" spans="2:19" x14ac:dyDescent="0.25">
      <c r="B87" s="7" t="s">
        <v>245</v>
      </c>
      <c r="C87" s="7"/>
      <c r="D87" s="7"/>
      <c r="E87" s="7"/>
      <c r="F87" s="7"/>
      <c r="G87" s="7"/>
      <c r="H87" s="7"/>
      <c r="I87" s="7"/>
      <c r="J87" s="7"/>
      <c r="K87" s="7"/>
      <c r="L87" s="7"/>
      <c r="M87" s="7"/>
      <c r="N87" s="7"/>
      <c r="P87" s="4">
        <v>753035</v>
      </c>
      <c r="Q87" s="4">
        <v>185000</v>
      </c>
    </row>
    <row r="88" spans="2:19" x14ac:dyDescent="0.25">
      <c r="B88" s="7" t="s">
        <v>20</v>
      </c>
      <c r="C88" s="7"/>
      <c r="D88" s="7"/>
      <c r="E88" s="7"/>
      <c r="F88" s="7"/>
      <c r="G88" s="7"/>
      <c r="H88" s="7"/>
      <c r="I88" s="7"/>
      <c r="J88" s="7"/>
      <c r="K88" s="7"/>
      <c r="L88" s="7"/>
      <c r="M88" s="7"/>
      <c r="N88" s="7"/>
      <c r="P88" s="4">
        <v>1334669</v>
      </c>
      <c r="Q88" s="4">
        <v>1525149</v>
      </c>
    </row>
    <row r="89" spans="2:19" x14ac:dyDescent="0.25">
      <c r="B89" s="7" t="s">
        <v>21</v>
      </c>
      <c r="C89" s="7"/>
      <c r="D89" s="7"/>
      <c r="E89" s="7"/>
      <c r="F89" s="7"/>
      <c r="G89" s="7"/>
      <c r="H89" s="7"/>
      <c r="I89" s="7"/>
      <c r="J89" s="7"/>
      <c r="K89" s="7"/>
      <c r="L89" s="7"/>
      <c r="M89" s="7"/>
      <c r="N89" s="7"/>
      <c r="P89" s="4" t="s">
        <v>6</v>
      </c>
      <c r="Q89" s="4">
        <v>999497</v>
      </c>
    </row>
    <row r="90" spans="2:19" x14ac:dyDescent="0.25">
      <c r="B90" s="2" t="s">
        <v>24</v>
      </c>
      <c r="C90" s="2"/>
      <c r="D90" s="2"/>
      <c r="E90" s="2"/>
      <c r="F90" s="2"/>
      <c r="G90" s="2"/>
      <c r="H90" s="2"/>
      <c r="I90" s="2"/>
      <c r="J90" s="2"/>
      <c r="K90" s="2"/>
      <c r="L90" s="2"/>
      <c r="M90" s="2"/>
      <c r="N90" s="2"/>
      <c r="O90" s="20"/>
      <c r="P90" s="10">
        <f>SUM(P86:P89)</f>
        <v>8883044</v>
      </c>
      <c r="Q90" s="10">
        <f>SUM(Q86:Q89)</f>
        <v>8546798</v>
      </c>
      <c r="R90" s="20"/>
      <c r="S90" s="20"/>
    </row>
    <row r="92" spans="2:19" x14ac:dyDescent="0.25">
      <c r="B92" s="9" t="s">
        <v>25</v>
      </c>
      <c r="C92" s="9"/>
      <c r="D92" s="9"/>
      <c r="E92" s="9"/>
      <c r="F92" s="9"/>
      <c r="G92" s="9"/>
      <c r="H92" s="9"/>
      <c r="I92" s="9"/>
      <c r="J92" s="9"/>
      <c r="K92" s="9"/>
      <c r="L92" s="9"/>
      <c r="M92" s="9"/>
      <c r="N92" s="9"/>
    </row>
    <row r="93" spans="2:19" x14ac:dyDescent="0.25">
      <c r="B93" s="7" t="s">
        <v>246</v>
      </c>
      <c r="C93" s="7"/>
      <c r="D93" s="7"/>
      <c r="E93" s="7"/>
      <c r="F93" s="7"/>
      <c r="G93" s="7"/>
      <c r="H93" s="7"/>
      <c r="I93" s="7"/>
      <c r="J93" s="7"/>
      <c r="K93" s="7"/>
      <c r="L93" s="7"/>
      <c r="M93" s="7"/>
      <c r="N93" s="7"/>
      <c r="P93" s="4">
        <v>854882</v>
      </c>
      <c r="Q93" s="4">
        <v>1296680</v>
      </c>
    </row>
    <row r="94" spans="2:19" x14ac:dyDescent="0.25">
      <c r="B94" s="7" t="s">
        <v>26</v>
      </c>
      <c r="C94" s="7"/>
      <c r="D94" s="7"/>
      <c r="E94" s="7"/>
      <c r="F94" s="7"/>
      <c r="G94" s="7"/>
      <c r="H94" s="7"/>
      <c r="I94" s="7"/>
      <c r="J94" s="7"/>
      <c r="K94" s="7"/>
      <c r="L94" s="7"/>
      <c r="M94" s="7"/>
      <c r="N94" s="7"/>
      <c r="P94" s="4">
        <v>4120091</v>
      </c>
      <c r="Q94" s="4">
        <v>5105939</v>
      </c>
    </row>
    <row r="95" spans="2:19" x14ac:dyDescent="0.25">
      <c r="B95" s="7" t="s">
        <v>27</v>
      </c>
      <c r="C95" s="7"/>
      <c r="D95" s="7"/>
      <c r="E95" s="7"/>
      <c r="F95" s="7"/>
      <c r="G95" s="7"/>
      <c r="H95" s="7"/>
      <c r="I95" s="7"/>
      <c r="J95" s="7"/>
      <c r="K95" s="7"/>
      <c r="L95" s="7"/>
      <c r="M95" s="7"/>
      <c r="N95" s="7"/>
      <c r="P95" s="4">
        <v>35695</v>
      </c>
      <c r="Q95" s="4">
        <v>162435</v>
      </c>
    </row>
    <row r="96" spans="2:19" x14ac:dyDescent="0.25">
      <c r="B96" s="7" t="s">
        <v>30</v>
      </c>
      <c r="C96" s="7"/>
      <c r="D96" s="7"/>
      <c r="E96" s="7"/>
      <c r="F96" s="7"/>
      <c r="G96" s="7"/>
      <c r="H96" s="7"/>
      <c r="I96" s="7"/>
      <c r="J96" s="7"/>
      <c r="K96" s="7"/>
      <c r="L96" s="7"/>
      <c r="M96" s="7"/>
      <c r="N96" s="7"/>
      <c r="P96" s="4">
        <v>289788</v>
      </c>
      <c r="Q96" s="4">
        <v>278617</v>
      </c>
    </row>
    <row r="97" spans="2:27" x14ac:dyDescent="0.25">
      <c r="B97" s="7" t="s">
        <v>31</v>
      </c>
      <c r="C97" s="7"/>
      <c r="D97" s="7"/>
      <c r="E97" s="7"/>
      <c r="F97" s="7"/>
      <c r="G97" s="7"/>
      <c r="H97" s="7"/>
      <c r="I97" s="7"/>
      <c r="J97" s="7"/>
      <c r="K97" s="7"/>
      <c r="L97" s="7"/>
      <c r="M97" s="7"/>
      <c r="N97" s="7"/>
      <c r="P97" s="4">
        <v>154972</v>
      </c>
      <c r="Q97" s="4">
        <v>152164</v>
      </c>
    </row>
    <row r="98" spans="2:27" x14ac:dyDescent="0.25">
      <c r="B98" s="2" t="s">
        <v>32</v>
      </c>
      <c r="C98" s="2"/>
      <c r="D98" s="2"/>
      <c r="E98" s="2"/>
      <c r="F98" s="2"/>
      <c r="G98" s="2"/>
      <c r="H98" s="2"/>
      <c r="I98" s="2"/>
      <c r="J98" s="2"/>
      <c r="K98" s="2"/>
      <c r="L98" s="2"/>
      <c r="M98" s="2"/>
      <c r="N98" s="2"/>
      <c r="O98" s="20"/>
      <c r="P98" s="10">
        <f>P90+SUM(P93:P97)</f>
        <v>14338472</v>
      </c>
      <c r="Q98" s="10">
        <f>Q90+SUM(Q93:Q97)</f>
        <v>15542633</v>
      </c>
      <c r="R98" s="20"/>
      <c r="S98" s="20"/>
    </row>
    <row r="100" spans="2:27" x14ac:dyDescent="0.25">
      <c r="B100" s="9" t="s">
        <v>33</v>
      </c>
      <c r="C100" s="9"/>
      <c r="D100" s="9"/>
      <c r="E100" s="9"/>
      <c r="F100" s="9"/>
      <c r="G100" s="9"/>
      <c r="H100" s="9"/>
      <c r="I100" s="9"/>
      <c r="J100" s="9"/>
      <c r="K100" s="9"/>
      <c r="L100" s="9"/>
      <c r="M100" s="9"/>
      <c r="N100" s="9"/>
    </row>
    <row r="101" spans="2:27" x14ac:dyDescent="0.25">
      <c r="B101" s="23" t="s">
        <v>37</v>
      </c>
      <c r="C101" s="23"/>
      <c r="D101" s="23"/>
      <c r="E101" s="23"/>
      <c r="F101" s="23"/>
      <c r="G101" s="23"/>
      <c r="H101" s="23"/>
      <c r="I101" s="23"/>
      <c r="J101" s="23"/>
      <c r="K101" s="23"/>
      <c r="L101" s="23"/>
      <c r="M101" s="23"/>
      <c r="N101" s="23"/>
      <c r="P101" s="6">
        <v>19601992</v>
      </c>
      <c r="Q101" s="6">
        <v>19900379</v>
      </c>
    </row>
    <row r="102" spans="2:27" x14ac:dyDescent="0.25">
      <c r="B102" s="23" t="s">
        <v>34</v>
      </c>
      <c r="C102" s="23"/>
      <c r="D102" s="23"/>
      <c r="E102" s="23"/>
      <c r="F102" s="23"/>
      <c r="G102" s="23"/>
      <c r="H102" s="23"/>
      <c r="I102" s="23"/>
      <c r="J102" s="23"/>
      <c r="K102" s="23"/>
      <c r="L102" s="23"/>
      <c r="M102" s="23"/>
      <c r="N102" s="23"/>
      <c r="P102" s="6">
        <v>-378307</v>
      </c>
      <c r="Q102" s="6">
        <v>2368618</v>
      </c>
    </row>
    <row r="103" spans="2:27" x14ac:dyDescent="0.25">
      <c r="B103" s="23" t="s">
        <v>35</v>
      </c>
      <c r="C103" s="23"/>
      <c r="D103" s="23"/>
      <c r="E103" s="23"/>
      <c r="F103" s="23"/>
      <c r="G103" s="23"/>
      <c r="H103" s="23"/>
      <c r="I103" s="23"/>
      <c r="J103" s="23"/>
      <c r="K103" s="23"/>
      <c r="L103" s="23"/>
      <c r="M103" s="23"/>
      <c r="N103" s="23"/>
      <c r="P103" s="6">
        <v>-528429</v>
      </c>
      <c r="Q103" s="6">
        <v>-1001065</v>
      </c>
    </row>
    <row r="104" spans="2:27" x14ac:dyDescent="0.25">
      <c r="B104" s="23" t="s">
        <v>36</v>
      </c>
      <c r="C104" s="23"/>
      <c r="D104" s="23"/>
      <c r="E104" s="23"/>
      <c r="F104" s="23"/>
      <c r="G104" s="23"/>
      <c r="H104" s="23"/>
      <c r="I104" s="23"/>
      <c r="J104" s="23"/>
      <c r="K104" s="23"/>
      <c r="L104" s="23"/>
      <c r="M104" s="23"/>
      <c r="N104" s="23"/>
      <c r="P104" s="6">
        <v>-2420</v>
      </c>
      <c r="Q104" s="6">
        <v>-32970</v>
      </c>
    </row>
    <row r="105" spans="2:27" x14ac:dyDescent="0.25">
      <c r="B105" s="2" t="s">
        <v>38</v>
      </c>
      <c r="C105" s="2"/>
      <c r="D105" s="2"/>
      <c r="E105" s="2"/>
      <c r="F105" s="2"/>
      <c r="G105" s="2"/>
      <c r="H105" s="2"/>
      <c r="I105" s="2"/>
      <c r="J105" s="2"/>
      <c r="K105" s="2"/>
      <c r="L105" s="2"/>
      <c r="M105" s="2"/>
      <c r="N105" s="2"/>
      <c r="O105" s="20"/>
      <c r="P105" s="10">
        <f>SUM(P101:P104)</f>
        <v>18692836</v>
      </c>
      <c r="Q105" s="10">
        <f>SUM(Q101:Q104)</f>
        <v>21234962</v>
      </c>
      <c r="R105" s="20"/>
      <c r="S105" s="20"/>
    </row>
    <row r="106" spans="2:27" x14ac:dyDescent="0.25">
      <c r="B106" s="1"/>
      <c r="C106" s="1"/>
      <c r="D106" s="1"/>
      <c r="E106" s="1"/>
      <c r="F106" s="1"/>
      <c r="G106" s="1"/>
      <c r="H106" s="1"/>
      <c r="I106" s="1"/>
      <c r="J106" s="1"/>
      <c r="K106" s="1"/>
      <c r="L106" s="1"/>
      <c r="M106" s="1"/>
      <c r="N106" s="1"/>
      <c r="P106" s="14"/>
      <c r="Q106" s="14"/>
    </row>
    <row r="107" spans="2:27" x14ac:dyDescent="0.25">
      <c r="B107" s="15" t="s">
        <v>233</v>
      </c>
      <c r="C107" s="15"/>
      <c r="D107" s="15"/>
      <c r="E107" s="15"/>
      <c r="F107" s="15"/>
      <c r="G107" s="15"/>
      <c r="H107" s="15"/>
      <c r="I107" s="15"/>
      <c r="J107" s="15"/>
      <c r="K107" s="15"/>
      <c r="L107" s="15"/>
      <c r="M107" s="15"/>
      <c r="N107" s="15"/>
      <c r="P107" s="14">
        <f>P83-SUM(P98,P105)</f>
        <v>0</v>
      </c>
      <c r="Q107" s="14">
        <f>Q83-SUM(Q98,Q105)</f>
        <v>0</v>
      </c>
      <c r="R107" s="14">
        <f t="shared" ref="R107:S107" si="48">R83-SUM(R98,R105)</f>
        <v>0</v>
      </c>
      <c r="S107" s="14">
        <f t="shared" si="48"/>
        <v>0</v>
      </c>
    </row>
    <row r="108" spans="2:27" x14ac:dyDescent="0.25">
      <c r="B108" s="15"/>
      <c r="C108" s="15"/>
      <c r="D108" s="15"/>
      <c r="E108" s="15"/>
      <c r="F108" s="15"/>
      <c r="G108" s="15"/>
      <c r="H108" s="15"/>
      <c r="I108" s="15"/>
      <c r="J108" s="15"/>
      <c r="K108" s="15"/>
      <c r="L108" s="15"/>
      <c r="M108" s="15"/>
      <c r="N108" s="15"/>
      <c r="P108" s="14"/>
      <c r="Q108" s="14"/>
      <c r="R108" s="14"/>
      <c r="S108" s="14"/>
    </row>
    <row r="109" spans="2:27" x14ac:dyDescent="0.25">
      <c r="B109" s="15" t="s">
        <v>234</v>
      </c>
      <c r="C109" s="15"/>
      <c r="D109" s="15"/>
      <c r="E109" s="15"/>
      <c r="F109" s="15"/>
      <c r="G109" s="15"/>
      <c r="H109" s="15"/>
      <c r="I109" s="15"/>
      <c r="J109" s="15"/>
      <c r="K109" s="15"/>
      <c r="L109" s="15"/>
      <c r="M109" s="15"/>
      <c r="N109" s="15"/>
      <c r="P109" s="14"/>
      <c r="Q109" s="14"/>
      <c r="R109" s="14"/>
      <c r="S109" s="14"/>
      <c r="AA109" s="3"/>
    </row>
    <row r="110" spans="2:27" x14ac:dyDescent="0.25">
      <c r="B110" t="s">
        <v>235</v>
      </c>
      <c r="P110" s="24">
        <f>P74/P90</f>
        <v>2.0059224067785775</v>
      </c>
      <c r="Q110" s="24">
        <f>Q74/Q90</f>
        <v>2.3260408166894782</v>
      </c>
      <c r="R110" s="14"/>
      <c r="S110" s="14"/>
    </row>
    <row r="111" spans="2:27" x14ac:dyDescent="0.25">
      <c r="B111" t="s">
        <v>236</v>
      </c>
      <c r="P111" s="24">
        <f>P69/P90</f>
        <v>0.56247216607280115</v>
      </c>
      <c r="Q111" s="24">
        <f>Q69/Q90</f>
        <v>0.94482717387260118</v>
      </c>
      <c r="R111" s="14"/>
      <c r="S111" s="14"/>
      <c r="X111" s="3"/>
      <c r="Y111" s="3"/>
      <c r="Z111" s="3"/>
      <c r="AA111" s="3"/>
    </row>
    <row r="112" spans="2:27" x14ac:dyDescent="0.25">
      <c r="B112" t="s">
        <v>237</v>
      </c>
      <c r="P112" s="24">
        <f>(SUM(P69:P71))/P90</f>
        <v>1.296780135277952</v>
      </c>
      <c r="Q112" s="24">
        <f>(SUM(Q69:Q71))/Q90</f>
        <v>1.4092433212999769</v>
      </c>
      <c r="R112" s="14"/>
      <c r="S112" s="14"/>
      <c r="X112" s="3"/>
      <c r="Y112" s="3"/>
      <c r="Z112" s="3"/>
      <c r="AA112" s="3"/>
    </row>
    <row r="113" spans="2:28" x14ac:dyDescent="0.25">
      <c r="P113" s="3"/>
      <c r="Q113" s="3"/>
      <c r="R113" s="14"/>
      <c r="S113" s="14"/>
      <c r="X113" s="3"/>
      <c r="Y113" s="3"/>
      <c r="Z113" s="3"/>
      <c r="AA113" s="3"/>
    </row>
    <row r="114" spans="2:28" x14ac:dyDescent="0.25">
      <c r="B114" t="s">
        <v>239</v>
      </c>
      <c r="P114" s="24">
        <f>P98/P83</f>
        <v>0.43408732103494052</v>
      </c>
      <c r="Q114" s="24">
        <f>Q98/Q83</f>
        <v>0.42261145678503448</v>
      </c>
      <c r="R114" s="14"/>
      <c r="S114" s="14"/>
      <c r="X114" s="3"/>
      <c r="Y114" s="3"/>
      <c r="Z114" s="3"/>
      <c r="AA114" s="3"/>
    </row>
    <row r="115" spans="2:28" x14ac:dyDescent="0.25">
      <c r="B115" t="s">
        <v>238</v>
      </c>
      <c r="P115" s="24">
        <f>P98/P105</f>
        <v>0.76705706934999052</v>
      </c>
      <c r="Q115" s="24">
        <f>Q98/Q105</f>
        <v>0.73193599310420243</v>
      </c>
      <c r="R115" s="14"/>
      <c r="S115" s="14"/>
      <c r="X115" s="3"/>
      <c r="Y115" s="3"/>
      <c r="Z115" s="3"/>
      <c r="AA115" s="3"/>
    </row>
    <row r="116" spans="2:28" x14ac:dyDescent="0.25">
      <c r="P116" s="3"/>
      <c r="Q116" s="3"/>
      <c r="R116" s="14"/>
      <c r="S116" s="14"/>
      <c r="X116" s="3"/>
      <c r="Y116" s="3"/>
      <c r="Z116" s="3"/>
    </row>
    <row r="117" spans="2:28" x14ac:dyDescent="0.25">
      <c r="P117" s="3"/>
      <c r="Q117" s="3"/>
      <c r="R117" s="14"/>
      <c r="S117" s="14"/>
      <c r="X117" s="3"/>
      <c r="Y117" s="3"/>
      <c r="Z117" s="3"/>
      <c r="AA117" s="3"/>
    </row>
    <row r="118" spans="2:28" x14ac:dyDescent="0.25">
      <c r="B118" s="1"/>
      <c r="C118" s="1"/>
      <c r="D118" s="1"/>
      <c r="E118" s="1"/>
      <c r="F118" s="1"/>
      <c r="G118" s="1"/>
      <c r="H118" s="1"/>
      <c r="I118" s="1"/>
      <c r="J118" s="1"/>
      <c r="K118" s="1"/>
      <c r="L118" s="1"/>
      <c r="M118" s="1"/>
      <c r="N118" s="1"/>
      <c r="AA118" s="3"/>
    </row>
    <row r="119" spans="2:28" ht="23.25" x14ac:dyDescent="0.35">
      <c r="B119" s="41" t="s">
        <v>39</v>
      </c>
      <c r="C119" s="41"/>
      <c r="D119" s="41"/>
      <c r="E119" s="41"/>
      <c r="F119" s="41"/>
      <c r="G119" s="41"/>
      <c r="H119" s="41"/>
      <c r="I119" s="41"/>
      <c r="J119" s="41"/>
      <c r="K119" s="41"/>
      <c r="L119" s="41"/>
      <c r="M119" s="41"/>
      <c r="N119" s="41"/>
      <c r="O119" s="40"/>
      <c r="P119" s="40"/>
      <c r="Q119" s="40"/>
      <c r="R119" s="40"/>
      <c r="S119" s="40"/>
      <c r="T119" s="40"/>
      <c r="U119" s="40"/>
      <c r="X119" s="3"/>
      <c r="Y119" s="3"/>
      <c r="Z119" s="3"/>
    </row>
    <row r="120" spans="2:28" x14ac:dyDescent="0.25">
      <c r="B120" s="43"/>
      <c r="C120" s="43"/>
      <c r="D120" s="43"/>
      <c r="E120" s="43"/>
      <c r="F120" s="43"/>
      <c r="G120" s="43"/>
      <c r="H120" s="43"/>
      <c r="I120" s="43"/>
      <c r="J120" s="43"/>
      <c r="K120" s="43"/>
      <c r="L120" s="43"/>
      <c r="M120" s="43"/>
      <c r="N120" s="43"/>
      <c r="O120" s="42">
        <v>44926</v>
      </c>
      <c r="P120" s="42">
        <f t="shared" ref="P120:Q120" si="49">EOMONTH(O120,12)</f>
        <v>45291</v>
      </c>
      <c r="Q120" s="42">
        <f t="shared" si="49"/>
        <v>45657</v>
      </c>
      <c r="R120" s="42"/>
      <c r="S120" s="42"/>
      <c r="T120" s="42"/>
      <c r="U120" s="42"/>
      <c r="X120" s="3"/>
      <c r="Y120" s="3"/>
      <c r="Z120" s="3"/>
      <c r="AA120" s="3"/>
    </row>
    <row r="121" spans="2:28" x14ac:dyDescent="0.25">
      <c r="B121" t="s">
        <v>247</v>
      </c>
      <c r="O121" s="6">
        <f>O57</f>
        <v>-367676</v>
      </c>
      <c r="P121" s="6">
        <f>P57</f>
        <v>-54164</v>
      </c>
      <c r="Q121" s="6">
        <f>Q57</f>
        <v>2600288</v>
      </c>
      <c r="X121" s="3"/>
      <c r="Y121" s="3"/>
    </row>
    <row r="122" spans="2:28" x14ac:dyDescent="0.25">
      <c r="B122" t="s">
        <v>4</v>
      </c>
      <c r="O122" s="6">
        <v>-553005</v>
      </c>
      <c r="P122" s="6">
        <v>-21124</v>
      </c>
      <c r="Q122" s="4">
        <v>2866497</v>
      </c>
      <c r="X122" s="3"/>
      <c r="Y122" s="3"/>
    </row>
    <row r="123" spans="2:28" x14ac:dyDescent="0.25">
      <c r="O123" s="5"/>
      <c r="P123" s="5"/>
      <c r="Q123" s="5"/>
      <c r="Y123" s="3"/>
      <c r="AA123" s="3"/>
      <c r="AB123" s="3"/>
    </row>
    <row r="124" spans="2:28" x14ac:dyDescent="0.25">
      <c r="B124" t="s">
        <v>40</v>
      </c>
      <c r="O124" s="6"/>
      <c r="P124" s="6"/>
      <c r="Q124" s="6"/>
      <c r="Y124" s="3"/>
      <c r="AA124" s="3"/>
      <c r="AB124" s="3"/>
    </row>
    <row r="125" spans="2:28" x14ac:dyDescent="0.25">
      <c r="B125" s="7" t="s">
        <v>43</v>
      </c>
      <c r="C125" s="7"/>
      <c r="D125" s="7"/>
      <c r="E125" s="7"/>
      <c r="F125" s="7"/>
      <c r="G125" s="7"/>
      <c r="H125" s="7"/>
      <c r="I125" s="7"/>
      <c r="J125" s="7"/>
      <c r="K125" s="7"/>
      <c r="L125" s="7"/>
      <c r="M125" s="7"/>
      <c r="N125" s="7"/>
      <c r="O125" s="6">
        <v>340523</v>
      </c>
      <c r="P125" s="6">
        <v>408560</v>
      </c>
      <c r="Q125" s="6">
        <v>376127</v>
      </c>
      <c r="Y125" s="3"/>
      <c r="AA125" s="3"/>
      <c r="AB125" s="3"/>
    </row>
    <row r="126" spans="2:28" x14ac:dyDescent="0.25">
      <c r="B126" s="7" t="s">
        <v>41</v>
      </c>
      <c r="C126" s="7"/>
      <c r="D126" s="7"/>
      <c r="E126" s="7"/>
      <c r="F126" s="7"/>
      <c r="G126" s="7"/>
      <c r="H126" s="7"/>
      <c r="I126" s="7"/>
      <c r="J126" s="7"/>
      <c r="K126" s="7"/>
      <c r="L126" s="7"/>
      <c r="M126" s="7"/>
      <c r="N126" s="7"/>
      <c r="O126" s="6">
        <v>-592489</v>
      </c>
      <c r="P126" s="6">
        <v>-984442</v>
      </c>
      <c r="Q126" s="6">
        <v>-1099024</v>
      </c>
      <c r="Y126" s="3"/>
      <c r="AA126" s="3"/>
      <c r="AB126" s="3"/>
    </row>
    <row r="127" spans="2:28" x14ac:dyDescent="0.25">
      <c r="B127" s="7" t="s">
        <v>42</v>
      </c>
      <c r="C127" s="7"/>
      <c r="D127" s="7"/>
      <c r="E127" s="7"/>
      <c r="F127" s="7"/>
      <c r="G127" s="7"/>
      <c r="H127" s="7"/>
      <c r="I127" s="7"/>
      <c r="J127" s="7"/>
      <c r="K127" s="7"/>
      <c r="L127" s="7"/>
      <c r="M127" s="7"/>
      <c r="N127" s="7"/>
      <c r="O127" s="6">
        <v>129811</v>
      </c>
      <c r="P127" s="6">
        <v>144198</v>
      </c>
      <c r="Q127" s="6">
        <v>72055</v>
      </c>
      <c r="Y127" s="3"/>
      <c r="AA127" s="3"/>
      <c r="AB127" s="3"/>
    </row>
    <row r="128" spans="2:28" x14ac:dyDescent="0.25">
      <c r="B128" s="7" t="s">
        <v>50</v>
      </c>
      <c r="C128" s="7"/>
      <c r="D128" s="7"/>
      <c r="E128" s="7"/>
      <c r="F128" s="7"/>
      <c r="G128" s="7"/>
      <c r="H128" s="7"/>
      <c r="I128" s="7"/>
      <c r="J128" s="7"/>
      <c r="K128" s="7"/>
      <c r="L128" s="7"/>
      <c r="M128" s="7"/>
      <c r="N128" s="7"/>
      <c r="O128" s="6">
        <v>1071278</v>
      </c>
      <c r="P128" s="6">
        <v>1276097</v>
      </c>
      <c r="Q128" s="6">
        <v>1272779</v>
      </c>
    </row>
    <row r="129" spans="2:28" x14ac:dyDescent="0.25">
      <c r="B129" s="7" t="s">
        <v>45</v>
      </c>
      <c r="C129" s="7"/>
      <c r="D129" s="7"/>
      <c r="E129" s="7"/>
      <c r="F129" s="7"/>
      <c r="G129" s="7"/>
      <c r="H129" s="7"/>
      <c r="I129" s="7"/>
      <c r="J129" s="7"/>
      <c r="K129" s="7"/>
      <c r="L129" s="7"/>
      <c r="M129" s="7"/>
      <c r="N129" s="7"/>
      <c r="O129" s="6">
        <v>-73457</v>
      </c>
      <c r="P129" s="6">
        <v>16523</v>
      </c>
      <c r="Q129" s="6">
        <v>-32245</v>
      </c>
      <c r="Y129" s="3"/>
      <c r="AA129" s="3"/>
      <c r="AB129" s="3"/>
    </row>
    <row r="130" spans="2:28" x14ac:dyDescent="0.25">
      <c r="B130" s="7" t="s">
        <v>46</v>
      </c>
      <c r="C130" s="7"/>
      <c r="D130" s="7"/>
      <c r="E130" s="7"/>
      <c r="F130" s="7"/>
      <c r="G130" s="7"/>
      <c r="H130" s="7"/>
      <c r="I130" s="7"/>
      <c r="J130" s="7"/>
      <c r="K130" s="7"/>
      <c r="L130" s="7"/>
      <c r="M130" s="7"/>
      <c r="N130" s="7"/>
      <c r="O130" s="6" t="s">
        <v>6</v>
      </c>
      <c r="P130" s="6">
        <v>-207084</v>
      </c>
      <c r="Q130" s="6">
        <v>-420918</v>
      </c>
      <c r="Y130" s="3"/>
      <c r="AA130" s="3"/>
      <c r="AB130" s="3"/>
    </row>
    <row r="131" spans="2:28" x14ac:dyDescent="0.25">
      <c r="B131" s="7" t="s">
        <v>47</v>
      </c>
      <c r="C131" s="7"/>
      <c r="D131" s="7"/>
      <c r="E131" s="7"/>
      <c r="F131" s="7"/>
      <c r="G131" s="7"/>
      <c r="H131" s="7"/>
      <c r="I131" s="7"/>
      <c r="J131" s="7"/>
      <c r="K131" s="7"/>
      <c r="L131" s="7"/>
      <c r="M131" s="7"/>
      <c r="N131" s="7"/>
      <c r="O131" s="6">
        <v>550683</v>
      </c>
      <c r="P131" s="6">
        <v>660663</v>
      </c>
      <c r="Q131" s="6">
        <v>794221</v>
      </c>
      <c r="Y131" s="3"/>
      <c r="AA131" s="3"/>
      <c r="AB131" s="3"/>
    </row>
    <row r="132" spans="2:28" x14ac:dyDescent="0.25">
      <c r="B132" s="7" t="s">
        <v>48</v>
      </c>
      <c r="C132" s="7"/>
      <c r="D132" s="7"/>
      <c r="E132" s="7"/>
      <c r="F132" s="7"/>
      <c r="G132" s="7"/>
      <c r="H132" s="7"/>
      <c r="I132" s="7"/>
      <c r="J132" s="7"/>
      <c r="K132" s="7"/>
      <c r="L132" s="7"/>
      <c r="M132" s="7"/>
      <c r="N132" s="7"/>
      <c r="O132" s="6">
        <v>46571</v>
      </c>
      <c r="P132" s="6" t="s">
        <v>6</v>
      </c>
      <c r="Q132" s="6" t="s">
        <v>6</v>
      </c>
      <c r="R132" s="3"/>
      <c r="Y132" s="3"/>
      <c r="AA132" s="3"/>
      <c r="AB132" s="3"/>
    </row>
    <row r="133" spans="2:28" x14ac:dyDescent="0.25">
      <c r="B133" s="7" t="s">
        <v>49</v>
      </c>
      <c r="C133" s="7"/>
      <c r="D133" s="7"/>
      <c r="E133" s="7"/>
      <c r="F133" s="7"/>
      <c r="G133" s="7"/>
      <c r="H133" s="7"/>
      <c r="I133" s="7"/>
      <c r="J133" s="7"/>
      <c r="K133" s="7"/>
      <c r="L133" s="7"/>
      <c r="M133" s="7"/>
      <c r="N133" s="7"/>
      <c r="O133" s="6">
        <v>-69593</v>
      </c>
      <c r="P133" s="6">
        <v>-85879</v>
      </c>
      <c r="Q133" s="6">
        <v>-1665812</v>
      </c>
      <c r="R133" s="3"/>
      <c r="AB133" s="3"/>
    </row>
    <row r="134" spans="2:28" x14ac:dyDescent="0.25">
      <c r="B134" s="7" t="s">
        <v>44</v>
      </c>
      <c r="C134" s="7"/>
      <c r="D134" s="7"/>
      <c r="E134" s="7"/>
      <c r="F134" s="7"/>
      <c r="G134" s="7"/>
      <c r="H134" s="7"/>
      <c r="I134" s="7"/>
      <c r="J134" s="7"/>
      <c r="K134" s="7"/>
      <c r="L134" s="7"/>
      <c r="M134" s="7"/>
      <c r="N134" s="7"/>
      <c r="O134" s="6" t="s">
        <v>6</v>
      </c>
      <c r="P134" s="6">
        <v>132313</v>
      </c>
      <c r="Q134" s="6">
        <v>133853</v>
      </c>
      <c r="AB134" s="3"/>
    </row>
    <row r="135" spans="2:28" x14ac:dyDescent="0.25">
      <c r="B135" t="s">
        <v>74</v>
      </c>
      <c r="O135" s="6"/>
      <c r="P135" s="6"/>
      <c r="Q135" s="6"/>
      <c r="Y135" s="3"/>
    </row>
    <row r="136" spans="2:28" x14ac:dyDescent="0.25">
      <c r="B136" s="7" t="s">
        <v>106</v>
      </c>
      <c r="C136" s="7"/>
      <c r="D136" s="7"/>
      <c r="E136" s="7"/>
      <c r="F136" s="7"/>
      <c r="G136" s="7"/>
      <c r="H136" s="7"/>
      <c r="I136" s="7"/>
      <c r="J136" s="7"/>
      <c r="K136" s="7"/>
      <c r="L136" s="7"/>
      <c r="M136" s="7"/>
      <c r="N136" s="7"/>
      <c r="O136" s="6">
        <v>-1499057</v>
      </c>
      <c r="P136" s="6">
        <v>-1108529</v>
      </c>
      <c r="Q136" s="6">
        <v>1947849</v>
      </c>
    </row>
    <row r="137" spans="2:28" x14ac:dyDescent="0.25">
      <c r="B137" s="7" t="s">
        <v>57</v>
      </c>
      <c r="C137" s="7"/>
      <c r="D137" s="7"/>
      <c r="E137" s="7"/>
      <c r="F137" s="7"/>
      <c r="G137" s="7"/>
      <c r="H137" s="7"/>
      <c r="I137" s="7"/>
      <c r="J137" s="7"/>
      <c r="K137" s="7"/>
      <c r="L137" s="7"/>
      <c r="M137" s="7"/>
      <c r="N137" s="7"/>
      <c r="O137" s="6">
        <v>-6114847</v>
      </c>
      <c r="P137" s="6">
        <v>-8586293</v>
      </c>
      <c r="Q137" s="6">
        <v>-15210746</v>
      </c>
      <c r="X137" s="3"/>
      <c r="Y137" s="3"/>
    </row>
    <row r="138" spans="2:28" x14ac:dyDescent="0.25">
      <c r="B138" s="7" t="s">
        <v>58</v>
      </c>
      <c r="C138" s="7"/>
      <c r="D138" s="7"/>
      <c r="E138" s="7"/>
      <c r="F138" s="7"/>
      <c r="G138" s="7"/>
      <c r="H138" s="7"/>
      <c r="I138" s="7"/>
      <c r="J138" s="7"/>
      <c r="K138" s="7"/>
      <c r="L138" s="7"/>
      <c r="M138" s="7"/>
      <c r="N138" s="7"/>
      <c r="O138" s="6">
        <v>6040369</v>
      </c>
      <c r="P138" s="6">
        <v>8032687</v>
      </c>
      <c r="Q138" s="6">
        <v>14413277</v>
      </c>
      <c r="X138" s="3"/>
      <c r="Y138" s="3"/>
    </row>
    <row r="139" spans="2:28" x14ac:dyDescent="0.25">
      <c r="B139" s="7" t="s">
        <v>59</v>
      </c>
      <c r="C139" s="7"/>
      <c r="D139" s="7"/>
      <c r="E139" s="7"/>
      <c r="F139" s="7"/>
      <c r="G139" s="7"/>
      <c r="H139" s="7"/>
      <c r="I139" s="7"/>
      <c r="J139" s="7"/>
      <c r="K139" s="7"/>
      <c r="L139" s="7"/>
      <c r="M139" s="7"/>
      <c r="N139" s="7"/>
      <c r="O139" s="6">
        <v>1060861</v>
      </c>
      <c r="P139" s="6">
        <v>1256578</v>
      </c>
      <c r="Q139" s="6">
        <v>-1853872</v>
      </c>
      <c r="W139" s="3"/>
      <c r="X139" s="3"/>
      <c r="Z139" s="3"/>
      <c r="AA139" s="3"/>
    </row>
    <row r="140" spans="2:28" x14ac:dyDescent="0.25">
      <c r="B140" s="7" t="s">
        <v>60</v>
      </c>
      <c r="C140" s="7"/>
      <c r="D140" s="7"/>
      <c r="E140" s="7"/>
      <c r="F140" s="7"/>
      <c r="G140" s="7"/>
      <c r="H140" s="7"/>
      <c r="I140" s="7"/>
      <c r="J140" s="7"/>
      <c r="K140" s="7"/>
      <c r="L140" s="7"/>
      <c r="M140" s="7"/>
      <c r="N140" s="7"/>
      <c r="O140" s="6">
        <v>207894</v>
      </c>
      <c r="P140" s="6">
        <v>-454036</v>
      </c>
      <c r="Q140" s="6">
        <v>-8139</v>
      </c>
      <c r="X140" s="3"/>
      <c r="Z140" s="3"/>
      <c r="AA140" s="3"/>
    </row>
    <row r="141" spans="2:28" x14ac:dyDescent="0.25">
      <c r="B141" s="7" t="s">
        <v>61</v>
      </c>
      <c r="C141" s="7"/>
      <c r="D141" s="7"/>
      <c r="E141" s="7"/>
      <c r="F141" s="7"/>
      <c r="G141" s="7"/>
      <c r="H141" s="7"/>
      <c r="I141" s="7"/>
      <c r="J141" s="7"/>
      <c r="K141" s="7"/>
      <c r="L141" s="7"/>
      <c r="M141" s="7"/>
      <c r="N141" s="7"/>
      <c r="O141" s="6">
        <v>-369639</v>
      </c>
      <c r="P141" s="6">
        <v>-379271</v>
      </c>
      <c r="Q141" s="6">
        <v>121448</v>
      </c>
      <c r="AA141" s="3"/>
    </row>
    <row r="142" spans="2:28" x14ac:dyDescent="0.25">
      <c r="B142" s="2" t="s">
        <v>62</v>
      </c>
      <c r="C142" s="2"/>
      <c r="D142" s="2"/>
      <c r="E142" s="2"/>
      <c r="F142" s="2"/>
      <c r="G142" s="2"/>
      <c r="H142" s="2"/>
      <c r="I142" s="2"/>
      <c r="J142" s="2"/>
      <c r="K142" s="2"/>
      <c r="L142" s="2"/>
      <c r="M142" s="2"/>
      <c r="N142" s="2"/>
      <c r="O142" s="12">
        <f t="shared" ref="O142:P142" si="50">SUM(O122:O141)</f>
        <v>175903</v>
      </c>
      <c r="P142" s="12">
        <f t="shared" si="50"/>
        <v>100961</v>
      </c>
      <c r="Q142" s="12">
        <f>SUM(Q122:Q141)</f>
        <v>1707350</v>
      </c>
    </row>
    <row r="143" spans="2:28" x14ac:dyDescent="0.25">
      <c r="O143" s="22"/>
      <c r="P143" s="22"/>
      <c r="Q143" s="22"/>
      <c r="R143" s="22"/>
    </row>
    <row r="144" spans="2:28" x14ac:dyDescent="0.25">
      <c r="B144" s="21" t="s">
        <v>128</v>
      </c>
      <c r="C144" s="21"/>
      <c r="D144" s="21"/>
      <c r="E144" s="21"/>
      <c r="F144" s="21"/>
      <c r="G144" s="21"/>
      <c r="H144" s="21"/>
      <c r="I144" s="21"/>
      <c r="J144" s="21"/>
      <c r="K144" s="21"/>
      <c r="L144" s="21"/>
      <c r="M144" s="21"/>
      <c r="N144" s="21"/>
      <c r="O144" s="22"/>
      <c r="P144" s="22"/>
      <c r="Q144" s="22"/>
    </row>
    <row r="145" spans="2:22" x14ac:dyDescent="0.25">
      <c r="B145" s="7" t="s">
        <v>63</v>
      </c>
      <c r="C145" s="7"/>
      <c r="D145" s="7"/>
      <c r="E145" s="7"/>
      <c r="F145" s="7"/>
      <c r="G145" s="7"/>
      <c r="H145" s="7"/>
      <c r="I145" s="7"/>
      <c r="J145" s="7"/>
      <c r="K145" s="7"/>
      <c r="L145" s="7"/>
      <c r="M145" s="7"/>
      <c r="N145" s="7"/>
      <c r="O145" s="6">
        <v>-755697</v>
      </c>
      <c r="P145" s="6">
        <v>-1126615</v>
      </c>
      <c r="Q145" s="6">
        <v>-1197804</v>
      </c>
    </row>
    <row r="146" spans="2:22" x14ac:dyDescent="0.25">
      <c r="B146" s="7" t="s">
        <v>64</v>
      </c>
      <c r="C146" s="7"/>
      <c r="D146" s="7"/>
      <c r="E146" s="7"/>
      <c r="F146" s="7"/>
      <c r="G146" s="7"/>
      <c r="H146" s="7"/>
      <c r="I146" s="7"/>
      <c r="J146" s="7"/>
      <c r="K146" s="7"/>
      <c r="L146" s="7"/>
      <c r="M146" s="7"/>
      <c r="N146" s="7"/>
      <c r="O146" s="6">
        <v>999569</v>
      </c>
      <c r="P146" s="6">
        <v>1387830</v>
      </c>
      <c r="Q146" s="6">
        <v>1005580</v>
      </c>
    </row>
    <row r="147" spans="2:22" x14ac:dyDescent="0.25">
      <c r="B147" s="7" t="s">
        <v>65</v>
      </c>
      <c r="C147" s="7"/>
      <c r="D147" s="7"/>
      <c r="E147" s="7"/>
      <c r="F147" s="7"/>
      <c r="G147" s="7"/>
      <c r="H147" s="7"/>
      <c r="I147" s="7"/>
      <c r="J147" s="7"/>
      <c r="K147" s="7"/>
      <c r="L147" s="7"/>
      <c r="M147" s="7"/>
      <c r="N147" s="7"/>
      <c r="O147" s="6">
        <v>449723</v>
      </c>
      <c r="P147" s="6">
        <v>339095</v>
      </c>
      <c r="Q147" s="6">
        <v>446076</v>
      </c>
    </row>
    <row r="148" spans="2:22" x14ac:dyDescent="0.25">
      <c r="B148" s="7" t="s">
        <v>66</v>
      </c>
      <c r="C148" s="7"/>
      <c r="D148" s="7"/>
      <c r="E148" s="7"/>
      <c r="F148" s="7"/>
      <c r="G148" s="7"/>
      <c r="H148" s="7"/>
      <c r="I148" s="7"/>
      <c r="J148" s="7"/>
      <c r="K148" s="7"/>
      <c r="L148" s="7"/>
      <c r="M148" s="7"/>
      <c r="N148" s="7"/>
      <c r="O148" s="6">
        <v>73000</v>
      </c>
      <c r="P148" s="6" t="s">
        <v>73</v>
      </c>
      <c r="Q148" s="6" t="s">
        <v>73</v>
      </c>
    </row>
    <row r="149" spans="2:22" x14ac:dyDescent="0.25">
      <c r="B149" s="7" t="s">
        <v>67</v>
      </c>
      <c r="C149" s="7"/>
      <c r="D149" s="7"/>
      <c r="E149" s="7"/>
      <c r="F149" s="7"/>
      <c r="G149" s="7"/>
      <c r="H149" s="7"/>
      <c r="I149" s="7"/>
      <c r="J149" s="7"/>
      <c r="K149" s="7"/>
      <c r="L149" s="7"/>
      <c r="M149" s="7"/>
      <c r="N149" s="7"/>
      <c r="O149" s="6">
        <v>316576</v>
      </c>
      <c r="P149" s="6" t="s">
        <v>73</v>
      </c>
      <c r="Q149" s="6" t="s">
        <v>73</v>
      </c>
    </row>
    <row r="150" spans="2:22" x14ac:dyDescent="0.25">
      <c r="B150" s="7" t="s">
        <v>68</v>
      </c>
      <c r="C150" s="7"/>
      <c r="D150" s="7"/>
      <c r="E150" s="7"/>
      <c r="F150" s="7"/>
      <c r="G150" s="7"/>
      <c r="H150" s="7"/>
      <c r="I150" s="7"/>
      <c r="J150" s="7"/>
      <c r="K150" s="7"/>
      <c r="L150" s="7"/>
      <c r="M150" s="7"/>
      <c r="N150" s="7"/>
      <c r="O150" s="6">
        <v>-18361871</v>
      </c>
      <c r="P150" s="6">
        <v>-23968787</v>
      </c>
      <c r="Q150" s="6">
        <v>-29318390</v>
      </c>
    </row>
    <row r="151" spans="2:22" x14ac:dyDescent="0.25">
      <c r="B151" s="7" t="s">
        <v>69</v>
      </c>
      <c r="C151" s="7"/>
      <c r="D151" s="7"/>
      <c r="E151" s="7"/>
      <c r="F151" s="7"/>
      <c r="G151" s="7"/>
      <c r="H151" s="7"/>
      <c r="I151" s="7"/>
      <c r="J151" s="7"/>
      <c r="K151" s="7"/>
      <c r="L151" s="7"/>
      <c r="M151" s="7"/>
      <c r="N151" s="7"/>
      <c r="O151" s="6">
        <v>18192470</v>
      </c>
      <c r="P151" s="6">
        <v>24241651</v>
      </c>
      <c r="Q151" s="6">
        <v>29922371</v>
      </c>
      <c r="V151" s="3"/>
    </row>
    <row r="152" spans="2:22" x14ac:dyDescent="0.25">
      <c r="B152" s="7" t="s">
        <v>70</v>
      </c>
      <c r="C152" s="7"/>
      <c r="D152" s="7"/>
      <c r="E152" s="7"/>
      <c r="F152" s="7"/>
      <c r="G152" s="7"/>
      <c r="H152" s="7"/>
      <c r="I152" s="7"/>
      <c r="J152" s="7"/>
      <c r="K152" s="7"/>
      <c r="L152" s="7"/>
      <c r="M152" s="7"/>
      <c r="N152" s="7"/>
      <c r="O152" s="6">
        <v>-170815</v>
      </c>
      <c r="P152" s="6">
        <v>-151151</v>
      </c>
      <c r="Q152" s="6">
        <v>-153947</v>
      </c>
    </row>
    <row r="153" spans="2:22" x14ac:dyDescent="0.25">
      <c r="B153" s="7" t="s">
        <v>71</v>
      </c>
      <c r="C153" s="7"/>
      <c r="D153" s="7"/>
      <c r="E153" s="7"/>
      <c r="F153" s="7"/>
      <c r="G153" s="7"/>
      <c r="H153" s="7"/>
      <c r="I153" s="7"/>
      <c r="J153" s="7"/>
      <c r="K153" s="7"/>
      <c r="L153" s="7"/>
      <c r="M153" s="7"/>
      <c r="N153" s="7"/>
      <c r="O153" s="6">
        <v>-56712</v>
      </c>
      <c r="P153" s="6">
        <v>-38822</v>
      </c>
      <c r="Q153" s="6">
        <v>-53934</v>
      </c>
    </row>
    <row r="154" spans="2:22" x14ac:dyDescent="0.25">
      <c r="B154" s="7" t="s">
        <v>72</v>
      </c>
      <c r="C154" s="7"/>
      <c r="D154" s="7"/>
      <c r="E154" s="7"/>
      <c r="F154" s="7"/>
      <c r="G154" s="7"/>
      <c r="H154" s="7"/>
      <c r="I154" s="7"/>
      <c r="J154" s="7"/>
      <c r="K154" s="7"/>
      <c r="L154" s="7"/>
      <c r="M154" s="7"/>
      <c r="N154" s="7"/>
      <c r="O154" s="6">
        <v>539453</v>
      </c>
      <c r="P154" s="6" t="s">
        <v>73</v>
      </c>
      <c r="Q154" s="6" t="s">
        <v>73</v>
      </c>
    </row>
    <row r="155" spans="2:22" x14ac:dyDescent="0.25">
      <c r="B155" s="2" t="s">
        <v>153</v>
      </c>
      <c r="C155" s="2"/>
      <c r="D155" s="2"/>
      <c r="E155" s="2"/>
      <c r="F155" s="2"/>
      <c r="G155" s="2"/>
      <c r="H155" s="2"/>
      <c r="I155" s="2"/>
      <c r="J155" s="2"/>
      <c r="K155" s="2"/>
      <c r="L155" s="2"/>
      <c r="M155" s="2"/>
      <c r="N155" s="2"/>
      <c r="O155" s="10">
        <f>SUM(O145:O154)</f>
        <v>1225696</v>
      </c>
      <c r="P155" s="10">
        <f t="shared" ref="P155" si="51">SUM(P145:P154)</f>
        <v>683201</v>
      </c>
      <c r="Q155" s="10">
        <f>SUM(Q145:Q154)</f>
        <v>649952</v>
      </c>
    </row>
    <row r="157" spans="2:22" x14ac:dyDescent="0.25">
      <c r="B157" t="s">
        <v>157</v>
      </c>
    </row>
    <row r="158" spans="2:22" x14ac:dyDescent="0.25">
      <c r="B158" s="7" t="s">
        <v>158</v>
      </c>
      <c r="C158" s="7"/>
      <c r="D158" s="7"/>
      <c r="E158" s="7"/>
      <c r="F158" s="7"/>
      <c r="G158" s="7"/>
      <c r="H158" s="7"/>
      <c r="I158" s="7"/>
      <c r="J158" s="7"/>
      <c r="K158" s="7"/>
      <c r="L158" s="7"/>
      <c r="M158" s="7"/>
      <c r="N158" s="7"/>
      <c r="O158" s="6" t="s">
        <v>73</v>
      </c>
      <c r="P158" s="6" t="s">
        <v>73</v>
      </c>
      <c r="Q158" s="6">
        <v>2000000</v>
      </c>
    </row>
    <row r="159" spans="2:22" x14ac:dyDescent="0.25">
      <c r="B159" s="7" t="s">
        <v>160</v>
      </c>
      <c r="C159" s="7"/>
      <c r="D159" s="7"/>
      <c r="E159" s="7"/>
      <c r="F159" s="7"/>
      <c r="G159" s="7"/>
      <c r="H159" s="7"/>
      <c r="I159" s="7"/>
      <c r="J159" s="7"/>
      <c r="K159" s="7"/>
      <c r="L159" s="7"/>
      <c r="M159" s="7"/>
      <c r="N159" s="7"/>
      <c r="O159" s="6" t="s">
        <v>73</v>
      </c>
      <c r="P159" s="6" t="s">
        <v>73</v>
      </c>
      <c r="Q159" s="6">
        <v>-26619</v>
      </c>
    </row>
    <row r="160" spans="2:22" x14ac:dyDescent="0.25">
      <c r="B160" s="7" t="s">
        <v>162</v>
      </c>
      <c r="C160" s="7"/>
      <c r="D160" s="7"/>
      <c r="E160" s="7"/>
      <c r="F160" s="7"/>
      <c r="G160" s="7"/>
      <c r="H160" s="7"/>
      <c r="I160" s="7"/>
      <c r="J160" s="7"/>
      <c r="K160" s="7"/>
      <c r="L160" s="7"/>
      <c r="M160" s="7"/>
      <c r="N160" s="7"/>
      <c r="O160" s="6">
        <v>-480694</v>
      </c>
      <c r="P160" s="6">
        <v>-16840</v>
      </c>
      <c r="Q160" s="6" t="s">
        <v>73</v>
      </c>
    </row>
    <row r="161" spans="2:22" x14ac:dyDescent="0.25">
      <c r="B161" s="7" t="s">
        <v>165</v>
      </c>
      <c r="C161" s="7"/>
      <c r="D161" s="7"/>
      <c r="E161" s="7"/>
      <c r="F161" s="7"/>
      <c r="G161" s="7"/>
      <c r="H161" s="7"/>
      <c r="I161" s="7"/>
      <c r="J161" s="7"/>
      <c r="K161" s="7"/>
      <c r="L161" s="7"/>
      <c r="M161" s="7"/>
      <c r="N161" s="7"/>
      <c r="O161" s="6">
        <v>-1071788</v>
      </c>
      <c r="P161" s="6">
        <v>-461761</v>
      </c>
      <c r="Q161" s="6" t="s">
        <v>73</v>
      </c>
      <c r="V161" s="3"/>
    </row>
    <row r="162" spans="2:22" x14ac:dyDescent="0.25">
      <c r="B162" s="7" t="s">
        <v>168</v>
      </c>
      <c r="C162" s="7"/>
      <c r="D162" s="7"/>
      <c r="E162" s="7"/>
      <c r="F162" s="7"/>
      <c r="G162" s="7"/>
      <c r="H162" s="7"/>
      <c r="I162" s="7"/>
      <c r="J162" s="7"/>
      <c r="K162" s="7"/>
      <c r="L162" s="7"/>
      <c r="M162" s="7"/>
      <c r="N162" s="7"/>
      <c r="O162" s="6">
        <v>1620805</v>
      </c>
      <c r="P162" s="6">
        <v>1387662</v>
      </c>
      <c r="Q162" s="6">
        <v>1255745</v>
      </c>
      <c r="V162" s="3"/>
    </row>
    <row r="163" spans="2:22" x14ac:dyDescent="0.25">
      <c r="B163" s="7" t="s">
        <v>172</v>
      </c>
      <c r="C163" s="7"/>
      <c r="D163" s="7"/>
      <c r="E163" s="7"/>
      <c r="F163" s="7"/>
      <c r="G163" s="7"/>
      <c r="H163" s="7"/>
      <c r="I163" s="7"/>
      <c r="J163" s="7"/>
      <c r="K163" s="7"/>
      <c r="L163" s="7"/>
      <c r="M163" s="7"/>
      <c r="N163" s="7"/>
      <c r="O163" s="6">
        <v>-391463</v>
      </c>
      <c r="P163" s="6">
        <v>-1118083</v>
      </c>
      <c r="Q163" s="6">
        <v>-1329729</v>
      </c>
    </row>
    <row r="164" spans="2:22" x14ac:dyDescent="0.25">
      <c r="B164" s="7" t="s">
        <v>176</v>
      </c>
      <c r="C164" s="7"/>
      <c r="D164" s="7"/>
      <c r="E164" s="7"/>
      <c r="F164" s="7"/>
      <c r="G164" s="7"/>
      <c r="H164" s="7"/>
      <c r="I164" s="7"/>
      <c r="J164" s="7"/>
      <c r="K164" s="7"/>
      <c r="L164" s="7"/>
      <c r="M164" s="7"/>
      <c r="N164" s="7"/>
      <c r="O164" s="6">
        <v>81768</v>
      </c>
      <c r="P164" s="6">
        <v>130433</v>
      </c>
      <c r="Q164" s="6">
        <v>154779</v>
      </c>
    </row>
    <row r="165" spans="2:22" x14ac:dyDescent="0.25">
      <c r="B165" s="7" t="s">
        <v>180</v>
      </c>
      <c r="C165" s="7"/>
      <c r="D165" s="7"/>
      <c r="E165" s="7"/>
      <c r="F165" s="7"/>
      <c r="G165" s="7"/>
      <c r="H165" s="7"/>
      <c r="I165" s="7"/>
      <c r="J165" s="7"/>
      <c r="K165" s="7"/>
      <c r="L165" s="7"/>
      <c r="M165" s="7"/>
      <c r="N165" s="7"/>
      <c r="O165" s="6">
        <v>-4735</v>
      </c>
      <c r="P165" s="6" t="s">
        <v>73</v>
      </c>
      <c r="Q165" s="6" t="s">
        <v>73</v>
      </c>
    </row>
    <row r="166" spans="2:22" x14ac:dyDescent="0.25">
      <c r="B166" s="7" t="s">
        <v>182</v>
      </c>
      <c r="C166" s="7"/>
      <c r="D166" s="7"/>
      <c r="E166" s="7"/>
      <c r="F166" s="7"/>
      <c r="G166" s="7"/>
      <c r="H166" s="7"/>
      <c r="I166" s="7"/>
      <c r="J166" s="7"/>
      <c r="K166" s="7"/>
      <c r="L166" s="7"/>
      <c r="M166" s="7"/>
      <c r="N166" s="7"/>
      <c r="O166" s="6">
        <v>82049</v>
      </c>
      <c r="P166" s="6">
        <v>25135</v>
      </c>
      <c r="Q166" s="6">
        <v>74856</v>
      </c>
    </row>
    <row r="167" spans="2:22" x14ac:dyDescent="0.25">
      <c r="B167" s="7" t="s">
        <v>186</v>
      </c>
      <c r="C167" s="7"/>
      <c r="D167" s="7"/>
      <c r="E167" s="7"/>
      <c r="F167" s="7"/>
      <c r="G167" s="7"/>
      <c r="H167" s="7"/>
      <c r="I167" s="7"/>
      <c r="J167" s="7"/>
      <c r="K167" s="7"/>
      <c r="L167" s="7"/>
      <c r="M167" s="7"/>
      <c r="N167" s="7"/>
      <c r="O167" s="6" t="s">
        <v>73</v>
      </c>
      <c r="P167" s="6">
        <v>-156812</v>
      </c>
      <c r="Q167" s="6">
        <v>-1170339</v>
      </c>
    </row>
    <row r="168" spans="2:22" x14ac:dyDescent="0.25">
      <c r="B168" s="7" t="s">
        <v>189</v>
      </c>
      <c r="C168" s="7"/>
      <c r="D168" s="7"/>
      <c r="E168" s="7"/>
      <c r="F168" s="7"/>
      <c r="G168" s="7"/>
      <c r="H168" s="7"/>
      <c r="I168" s="7"/>
      <c r="J168" s="7"/>
      <c r="K168" s="7"/>
      <c r="L168" s="7"/>
      <c r="M168" s="7"/>
      <c r="N168" s="7"/>
      <c r="O168" s="6">
        <v>-87692</v>
      </c>
      <c r="P168" s="6">
        <v>-19977</v>
      </c>
      <c r="Q168" s="6">
        <v>-18473</v>
      </c>
    </row>
    <row r="169" spans="2:22" x14ac:dyDescent="0.25">
      <c r="B169" s="7" t="s">
        <v>193</v>
      </c>
      <c r="C169" s="7"/>
      <c r="D169" s="7"/>
      <c r="E169" s="7"/>
      <c r="F169" s="7"/>
      <c r="G169" s="7"/>
      <c r="H169" s="7"/>
      <c r="I169" s="7"/>
      <c r="J169" s="7"/>
      <c r="K169" s="7"/>
      <c r="L169" s="7"/>
      <c r="M169" s="7"/>
      <c r="N169" s="7"/>
      <c r="O169" s="6">
        <v>349330</v>
      </c>
      <c r="P169" s="6">
        <v>-9894</v>
      </c>
      <c r="Q169" s="6">
        <v>1012442</v>
      </c>
    </row>
    <row r="170" spans="2:22" x14ac:dyDescent="0.25">
      <c r="B170" s="17" t="s">
        <v>197</v>
      </c>
      <c r="C170" s="17"/>
      <c r="D170" s="17"/>
      <c r="E170" s="17"/>
      <c r="F170" s="17"/>
      <c r="G170" s="17"/>
      <c r="H170" s="17"/>
      <c r="I170" s="17"/>
      <c r="J170" s="17"/>
      <c r="K170" s="17"/>
      <c r="L170" s="17"/>
      <c r="M170" s="17"/>
      <c r="N170" s="17"/>
      <c r="O170" s="12">
        <f>SUM(O158:O169)</f>
        <v>97580</v>
      </c>
      <c r="P170" s="12">
        <f t="shared" ref="P170:Q170" si="52">SUM(P158:P169)</f>
        <v>-240137</v>
      </c>
      <c r="Q170" s="12">
        <f t="shared" si="52"/>
        <v>1952662</v>
      </c>
    </row>
    <row r="171" spans="2:22" x14ac:dyDescent="0.25">
      <c r="B171" s="7"/>
      <c r="C171" s="7"/>
      <c r="D171" s="7"/>
      <c r="E171" s="7"/>
      <c r="F171" s="7"/>
      <c r="G171" s="7"/>
      <c r="H171" s="7"/>
      <c r="I171" s="7"/>
      <c r="J171" s="7"/>
      <c r="K171" s="7"/>
      <c r="L171" s="7"/>
      <c r="M171" s="7"/>
      <c r="N171" s="7"/>
      <c r="O171" s="22"/>
      <c r="P171" s="22"/>
      <c r="Q171" s="22"/>
    </row>
    <row r="172" spans="2:22" x14ac:dyDescent="0.25">
      <c r="B172" s="7" t="s">
        <v>201</v>
      </c>
      <c r="C172" s="7"/>
      <c r="D172" s="7"/>
      <c r="E172" s="7"/>
      <c r="F172" s="7"/>
      <c r="G172" s="7"/>
      <c r="H172" s="7"/>
      <c r="I172" s="7"/>
      <c r="J172" s="7"/>
      <c r="K172" s="7"/>
      <c r="L172" s="7"/>
      <c r="M172" s="7"/>
      <c r="N172" s="7"/>
      <c r="O172" s="6">
        <v>-38363</v>
      </c>
      <c r="P172" s="6">
        <v>29156</v>
      </c>
      <c r="Q172" s="6">
        <v>-88539</v>
      </c>
    </row>
    <row r="173" spans="2:22" x14ac:dyDescent="0.25">
      <c r="B173" s="16" t="s">
        <v>205</v>
      </c>
      <c r="C173" s="16"/>
      <c r="D173" s="16"/>
      <c r="E173" s="16"/>
      <c r="F173" s="16"/>
      <c r="G173" s="16"/>
      <c r="H173" s="16"/>
      <c r="I173" s="16"/>
      <c r="J173" s="16"/>
      <c r="K173" s="16"/>
      <c r="L173" s="16"/>
      <c r="M173" s="16"/>
      <c r="N173" s="16"/>
      <c r="O173" s="11">
        <f>SUM(O142,O155,O170)+O172</f>
        <v>1460816</v>
      </c>
      <c r="P173" s="11">
        <f t="shared" ref="P173:Q173" si="53">SUM(P142,P155,P170)+P172</f>
        <v>573181</v>
      </c>
      <c r="Q173" s="11">
        <f t="shared" si="53"/>
        <v>4221425</v>
      </c>
    </row>
    <row r="174" spans="2:22" x14ac:dyDescent="0.25">
      <c r="B174" s="16"/>
      <c r="C174" s="16"/>
      <c r="D174" s="16"/>
      <c r="E174" s="16"/>
      <c r="F174" s="16"/>
      <c r="G174" s="16"/>
      <c r="H174" s="16"/>
      <c r="I174" s="16"/>
      <c r="J174" s="16"/>
      <c r="K174" s="16"/>
      <c r="L174" s="16"/>
      <c r="M174" s="16"/>
      <c r="N174" s="16"/>
      <c r="O174" s="22"/>
      <c r="P174" s="22"/>
      <c r="Q174" s="22"/>
    </row>
    <row r="175" spans="2:22" x14ac:dyDescent="0.25">
      <c r="B175" s="7" t="s">
        <v>209</v>
      </c>
      <c r="C175" s="7"/>
      <c r="D175" s="7"/>
      <c r="E175" s="7"/>
      <c r="F175" s="7"/>
      <c r="G175" s="7"/>
      <c r="H175" s="7"/>
      <c r="I175" s="7"/>
      <c r="J175" s="7"/>
      <c r="K175" s="7"/>
      <c r="L175" s="7"/>
      <c r="M175" s="7"/>
      <c r="N175" s="7"/>
      <c r="O175" s="6">
        <v>6975090</v>
      </c>
      <c r="P175" s="6">
        <f>O176</f>
        <v>8435906</v>
      </c>
      <c r="Q175" s="6">
        <f>P176</f>
        <v>9009087</v>
      </c>
    </row>
    <row r="176" spans="2:22" x14ac:dyDescent="0.25">
      <c r="B176" s="7" t="s">
        <v>213</v>
      </c>
      <c r="C176" s="7"/>
      <c r="D176" s="7"/>
      <c r="E176" s="7"/>
      <c r="F176" s="7"/>
      <c r="G176" s="7"/>
      <c r="H176" s="7"/>
      <c r="I176" s="7"/>
      <c r="J176" s="7"/>
      <c r="K176" s="7"/>
      <c r="L176" s="7"/>
      <c r="M176" s="7"/>
      <c r="N176" s="7"/>
      <c r="O176" s="6">
        <f>O175+O173</f>
        <v>8435906</v>
      </c>
      <c r="P176" s="6">
        <f t="shared" ref="P176:Q176" si="54">P175+P173</f>
        <v>9009087</v>
      </c>
      <c r="Q176" s="6">
        <f t="shared" si="54"/>
        <v>13230512</v>
      </c>
    </row>
    <row r="177" spans="2:22" x14ac:dyDescent="0.25">
      <c r="O177" s="22"/>
      <c r="P177" s="22"/>
      <c r="Q177" s="22" t="s">
        <v>215</v>
      </c>
      <c r="V177" s="3"/>
    </row>
    <row r="178" spans="2:22" x14ac:dyDescent="0.25">
      <c r="B178" s="21" t="s">
        <v>216</v>
      </c>
      <c r="C178" s="21"/>
      <c r="D178" s="21"/>
      <c r="E178" s="21"/>
      <c r="F178" s="21"/>
      <c r="G178" s="21"/>
      <c r="H178" s="21"/>
      <c r="I178" s="21"/>
      <c r="J178" s="21"/>
      <c r="K178" s="21"/>
      <c r="L178" s="21"/>
      <c r="M178" s="21"/>
      <c r="N178" s="21"/>
      <c r="O178" s="22"/>
      <c r="P178" s="22"/>
      <c r="Q178" s="22"/>
      <c r="V178" s="3"/>
    </row>
    <row r="179" spans="2:22" x14ac:dyDescent="0.25">
      <c r="B179" s="7" t="s">
        <v>8</v>
      </c>
      <c r="C179" s="7"/>
      <c r="D179" s="7"/>
      <c r="E179" s="7"/>
      <c r="F179" s="7"/>
      <c r="G179" s="7"/>
      <c r="H179" s="7"/>
      <c r="I179" s="7"/>
      <c r="J179" s="7"/>
      <c r="K179" s="7"/>
      <c r="L179" s="7"/>
      <c r="M179" s="7"/>
      <c r="N179" s="7"/>
      <c r="O179" s="6">
        <v>4544202</v>
      </c>
      <c r="P179" s="6">
        <v>4996465</v>
      </c>
      <c r="Q179" s="6">
        <v>8075247</v>
      </c>
    </row>
    <row r="180" spans="2:22" x14ac:dyDescent="0.25">
      <c r="B180" s="7" t="s">
        <v>220</v>
      </c>
      <c r="C180" s="7"/>
      <c r="D180" s="7"/>
      <c r="E180" s="7"/>
      <c r="F180" s="7"/>
      <c r="G180" s="7"/>
      <c r="H180" s="7"/>
      <c r="I180" s="7"/>
      <c r="J180" s="7"/>
      <c r="K180" s="7"/>
      <c r="L180" s="7"/>
      <c r="M180" s="7"/>
      <c r="N180" s="7"/>
      <c r="O180" s="6">
        <v>639780</v>
      </c>
      <c r="P180" s="6">
        <v>770380</v>
      </c>
      <c r="Q180" s="6">
        <v>902478</v>
      </c>
    </row>
    <row r="181" spans="2:22" x14ac:dyDescent="0.25">
      <c r="B181" s="7" t="s">
        <v>224</v>
      </c>
      <c r="C181" s="7"/>
      <c r="D181" s="7"/>
      <c r="E181" s="7"/>
      <c r="F181" s="7"/>
      <c r="G181" s="7"/>
      <c r="H181" s="7"/>
      <c r="I181" s="7"/>
      <c r="J181" s="7"/>
      <c r="K181" s="7"/>
      <c r="L181" s="7"/>
      <c r="M181" s="7"/>
      <c r="N181" s="7"/>
      <c r="O181" s="6">
        <v>71600</v>
      </c>
      <c r="P181" s="6">
        <v>71812</v>
      </c>
      <c r="Q181" s="6">
        <v>69915</v>
      </c>
    </row>
    <row r="182" spans="2:22" x14ac:dyDescent="0.25">
      <c r="B182" s="7" t="s">
        <v>228</v>
      </c>
      <c r="C182" s="7"/>
      <c r="D182" s="7"/>
      <c r="E182" s="7"/>
      <c r="F182" s="7"/>
      <c r="G182" s="7"/>
      <c r="H182" s="7"/>
      <c r="I182" s="7"/>
      <c r="J182" s="7"/>
      <c r="K182" s="7"/>
      <c r="L182" s="7"/>
      <c r="M182" s="7"/>
      <c r="N182" s="7"/>
      <c r="O182" s="6">
        <v>3180324</v>
      </c>
      <c r="P182" s="6">
        <v>3170430</v>
      </c>
      <c r="Q182" s="6">
        <v>4182872</v>
      </c>
      <c r="S182" s="3"/>
      <c r="T182" s="3"/>
    </row>
    <row r="183" spans="2:22" x14ac:dyDescent="0.25">
      <c r="B183" t="s">
        <v>232</v>
      </c>
      <c r="O183" s="11">
        <f>SUM(O179:O182)</f>
        <v>8435906</v>
      </c>
      <c r="P183" s="11">
        <v>9009087</v>
      </c>
      <c r="Q183" s="11">
        <v>13230512</v>
      </c>
    </row>
    <row r="185" spans="2:22" x14ac:dyDescent="0.25">
      <c r="O185" s="19"/>
      <c r="P185" s="19"/>
      <c r="Q185" s="19"/>
    </row>
    <row r="186" spans="2:22" x14ac:dyDescent="0.25">
      <c r="B186" t="s">
        <v>358</v>
      </c>
      <c r="O186" s="19">
        <f>O179/O183</f>
        <v>0.53867385435541837</v>
      </c>
      <c r="P186" s="19">
        <f>P179/P183</f>
        <v>0.5546028138034409</v>
      </c>
      <c r="Q186" s="19">
        <f>Q179/Q183</f>
        <v>0.61035030239192556</v>
      </c>
    </row>
    <row r="187" spans="2:22" x14ac:dyDescent="0.25">
      <c r="O187" s="19"/>
      <c r="P187" s="19"/>
      <c r="Q187" s="19"/>
    </row>
    <row r="188" spans="2:22" x14ac:dyDescent="0.25">
      <c r="B188" s="1" t="s">
        <v>294</v>
      </c>
      <c r="C188" s="1"/>
      <c r="D188" s="1"/>
      <c r="E188" s="1"/>
      <c r="F188" s="1"/>
      <c r="G188" s="1"/>
      <c r="H188" s="1"/>
      <c r="I188" s="1"/>
      <c r="J188" s="1"/>
      <c r="K188" s="1"/>
      <c r="L188" s="1"/>
      <c r="M188" s="1"/>
      <c r="N188" s="1"/>
      <c r="O188" s="11" t="s">
        <v>295</v>
      </c>
    </row>
    <row r="189" spans="2:22" x14ac:dyDescent="0.25">
      <c r="B189" t="s">
        <v>248</v>
      </c>
    </row>
    <row r="190" spans="2:22" x14ac:dyDescent="0.25">
      <c r="B190" t="s">
        <v>249</v>
      </c>
    </row>
    <row r="191" spans="2:22" x14ac:dyDescent="0.25">
      <c r="B191" t="s">
        <v>302</v>
      </c>
    </row>
    <row r="192" spans="2:22" x14ac:dyDescent="0.25">
      <c r="B192" t="s">
        <v>252</v>
      </c>
      <c r="O192" t="s">
        <v>300</v>
      </c>
    </row>
    <row r="193" spans="2:15" x14ac:dyDescent="0.25">
      <c r="B193" t="s">
        <v>253</v>
      </c>
      <c r="O193" t="s">
        <v>301</v>
      </c>
    </row>
    <row r="194" spans="2:15" x14ac:dyDescent="0.25">
      <c r="B194" t="s">
        <v>254</v>
      </c>
      <c r="O194" t="s">
        <v>296</v>
      </c>
    </row>
    <row r="195" spans="2:15" x14ac:dyDescent="0.25">
      <c r="B195" t="s">
        <v>255</v>
      </c>
      <c r="O195" t="s">
        <v>297</v>
      </c>
    </row>
    <row r="196" spans="2:15" x14ac:dyDescent="0.25">
      <c r="B196" t="s">
        <v>256</v>
      </c>
      <c r="O196" t="s">
        <v>299</v>
      </c>
    </row>
    <row r="197" spans="2:15" x14ac:dyDescent="0.25">
      <c r="B197" t="s">
        <v>257</v>
      </c>
      <c r="O197" t="s">
        <v>298</v>
      </c>
    </row>
    <row r="199" spans="2:15" x14ac:dyDescent="0.25">
      <c r="B199" t="s">
        <v>251</v>
      </c>
    </row>
    <row r="200" spans="2:15" x14ac:dyDescent="0.25">
      <c r="B200" s="1" t="s">
        <v>303</v>
      </c>
      <c r="C200" s="1"/>
      <c r="D200" s="1"/>
      <c r="E200" s="1"/>
      <c r="F200" s="1"/>
      <c r="G200" s="1"/>
      <c r="H200" s="1"/>
      <c r="I200" s="1"/>
      <c r="J200" s="1"/>
      <c r="K200" s="1"/>
      <c r="L200" s="1"/>
      <c r="M200" s="1"/>
      <c r="N200" s="1"/>
    </row>
    <row r="201" spans="2:15" x14ac:dyDescent="0.25">
      <c r="B201" t="s">
        <v>258</v>
      </c>
    </row>
    <row r="202" spans="2:15" x14ac:dyDescent="0.25">
      <c r="B202" t="s">
        <v>259</v>
      </c>
    </row>
    <row r="203" spans="2:15" x14ac:dyDescent="0.25">
      <c r="B203" t="s">
        <v>304</v>
      </c>
    </row>
    <row r="204" spans="2:15" x14ac:dyDescent="0.25">
      <c r="B204" t="s">
        <v>260</v>
      </c>
    </row>
    <row r="205" spans="2:15" x14ac:dyDescent="0.25">
      <c r="B205" t="s">
        <v>261</v>
      </c>
    </row>
    <row r="207" spans="2:15" x14ac:dyDescent="0.25">
      <c r="B207" s="1" t="s">
        <v>275</v>
      </c>
      <c r="C207" s="1"/>
      <c r="D207" s="1"/>
      <c r="E207" s="1"/>
      <c r="F207" s="1"/>
      <c r="G207" s="1"/>
      <c r="H207" s="1"/>
      <c r="I207" s="1"/>
      <c r="J207" s="1"/>
      <c r="K207" s="1"/>
      <c r="L207" s="1"/>
      <c r="M207" s="1"/>
      <c r="N207" s="1"/>
    </row>
    <row r="208" spans="2:15" x14ac:dyDescent="0.25">
      <c r="B208" s="1" t="s">
        <v>262</v>
      </c>
      <c r="C208" s="1"/>
      <c r="D208" s="1"/>
      <c r="E208" s="1"/>
      <c r="F208" s="1"/>
      <c r="G208" s="1"/>
      <c r="H208" s="1"/>
      <c r="I208" s="1"/>
      <c r="J208" s="1"/>
      <c r="K208" s="1"/>
      <c r="L208" s="1"/>
      <c r="M208" s="1"/>
      <c r="N208" s="1"/>
    </row>
    <row r="209" spans="2:14" x14ac:dyDescent="0.25">
      <c r="B209" t="s">
        <v>263</v>
      </c>
    </row>
    <row r="210" spans="2:14" ht="63" x14ac:dyDescent="0.25">
      <c r="B210" s="31" t="s">
        <v>264</v>
      </c>
      <c r="C210" s="31"/>
      <c r="D210" s="31"/>
      <c r="E210" s="31"/>
      <c r="F210" s="31"/>
      <c r="G210" s="31"/>
      <c r="H210" s="31"/>
      <c r="I210" s="31"/>
      <c r="J210" s="31"/>
      <c r="K210" s="31"/>
      <c r="L210" s="31"/>
      <c r="M210" s="31"/>
      <c r="N210" s="31"/>
    </row>
    <row r="211" spans="2:14" x14ac:dyDescent="0.25">
      <c r="B211" t="s">
        <v>305</v>
      </c>
    </row>
    <row r="212" spans="2:14" x14ac:dyDescent="0.25">
      <c r="B212" t="s">
        <v>306</v>
      </c>
    </row>
    <row r="213" spans="2:14" x14ac:dyDescent="0.25">
      <c r="B213" s="32" t="s">
        <v>265</v>
      </c>
      <c r="C213" s="32"/>
      <c r="D213" s="32"/>
      <c r="E213" s="32"/>
      <c r="F213" s="32"/>
      <c r="G213" s="32"/>
      <c r="H213" s="32"/>
      <c r="I213" s="32"/>
      <c r="J213" s="32"/>
      <c r="K213" s="32"/>
      <c r="L213" s="32"/>
      <c r="M213" s="32"/>
      <c r="N213" s="32"/>
    </row>
    <row r="214" spans="2:14" x14ac:dyDescent="0.25">
      <c r="B214" s="32"/>
      <c r="C214" s="32"/>
      <c r="D214" s="32"/>
      <c r="E214" s="32"/>
      <c r="F214" s="32"/>
      <c r="G214" s="32"/>
      <c r="H214" s="32"/>
      <c r="I214" s="32"/>
      <c r="J214" s="32"/>
      <c r="K214" s="32"/>
      <c r="L214" s="32"/>
      <c r="M214" s="32"/>
      <c r="N214" s="32"/>
    </row>
    <row r="215" spans="2:14" x14ac:dyDescent="0.25">
      <c r="B215" s="34" t="s">
        <v>307</v>
      </c>
      <c r="C215" s="34"/>
      <c r="D215" s="34"/>
      <c r="E215" s="34"/>
      <c r="F215" s="34"/>
      <c r="G215" s="34"/>
      <c r="H215" s="34"/>
      <c r="I215" s="34"/>
      <c r="J215" s="34"/>
      <c r="K215" s="34"/>
      <c r="L215" s="34"/>
      <c r="M215" s="34"/>
      <c r="N215" s="34"/>
    </row>
    <row r="216" spans="2:14" x14ac:dyDescent="0.25">
      <c r="B216" t="s">
        <v>308</v>
      </c>
    </row>
    <row r="217" spans="2:14" x14ac:dyDescent="0.25">
      <c r="B217" t="s">
        <v>309</v>
      </c>
    </row>
    <row r="218" spans="2:14" x14ac:dyDescent="0.25">
      <c r="B218" t="s">
        <v>310</v>
      </c>
    </row>
    <row r="219" spans="2:14" x14ac:dyDescent="0.25">
      <c r="B219" t="s">
        <v>311</v>
      </c>
    </row>
    <row r="220" spans="2:14" x14ac:dyDescent="0.25">
      <c r="B220" t="s">
        <v>313</v>
      </c>
    </row>
    <row r="222" spans="2:14" x14ac:dyDescent="0.25">
      <c r="B222" s="1" t="s">
        <v>314</v>
      </c>
      <c r="C222" s="1"/>
      <c r="D222" s="1"/>
      <c r="E222" s="1"/>
      <c r="F222" s="1"/>
      <c r="G222" s="1"/>
      <c r="H222" s="1"/>
      <c r="I222" s="1"/>
      <c r="J222" s="1"/>
      <c r="K222" s="1"/>
      <c r="L222" s="1"/>
      <c r="M222" s="1"/>
      <c r="N222" s="1"/>
    </row>
    <row r="223" spans="2:14" x14ac:dyDescent="0.25">
      <c r="B223" t="s">
        <v>315</v>
      </c>
    </row>
    <row r="224" spans="2:14" x14ac:dyDescent="0.25">
      <c r="B224" t="s">
        <v>316</v>
      </c>
    </row>
    <row r="226" spans="2:14" x14ac:dyDescent="0.25">
      <c r="B226" s="35" t="s">
        <v>266</v>
      </c>
      <c r="C226" s="35"/>
      <c r="D226" s="35"/>
      <c r="E226" s="35"/>
      <c r="F226" s="35"/>
      <c r="G226" s="35"/>
      <c r="H226" s="35"/>
      <c r="I226" s="35"/>
      <c r="J226" s="35"/>
      <c r="K226" s="35"/>
      <c r="L226" s="35"/>
      <c r="M226" s="35"/>
      <c r="N226" s="35"/>
    </row>
    <row r="227" spans="2:14" x14ac:dyDescent="0.25">
      <c r="B227" t="s">
        <v>317</v>
      </c>
    </row>
    <row r="228" spans="2:14" x14ac:dyDescent="0.25">
      <c r="B228" t="s">
        <v>267</v>
      </c>
    </row>
    <row r="229" spans="2:14" x14ac:dyDescent="0.25">
      <c r="B229" t="s">
        <v>268</v>
      </c>
    </row>
    <row r="230" spans="2:14" x14ac:dyDescent="0.25">
      <c r="B230" t="s">
        <v>269</v>
      </c>
    </row>
    <row r="231" spans="2:14" x14ac:dyDescent="0.25">
      <c r="B231" t="s">
        <v>270</v>
      </c>
    </row>
    <row r="232" spans="2:14" x14ac:dyDescent="0.25">
      <c r="B232" t="s">
        <v>271</v>
      </c>
    </row>
    <row r="233" spans="2:14" x14ac:dyDescent="0.25">
      <c r="B233" t="s">
        <v>272</v>
      </c>
    </row>
    <row r="235" spans="2:14" x14ac:dyDescent="0.25">
      <c r="B235" t="s">
        <v>273</v>
      </c>
    </row>
    <row r="236" spans="2:14" x14ac:dyDescent="0.25">
      <c r="B236" t="s">
        <v>274</v>
      </c>
    </row>
    <row r="237" spans="2:14" x14ac:dyDescent="0.25">
      <c r="B237" t="s">
        <v>276</v>
      </c>
    </row>
    <row r="239" spans="2:14" x14ac:dyDescent="0.25">
      <c r="B239" t="s">
        <v>277</v>
      </c>
    </row>
    <row r="240" spans="2:14" x14ac:dyDescent="0.25">
      <c r="B240" t="s">
        <v>278</v>
      </c>
    </row>
    <row r="241" spans="2:14" x14ac:dyDescent="0.25">
      <c r="B241" t="s">
        <v>279</v>
      </c>
    </row>
    <row r="243" spans="2:14" x14ac:dyDescent="0.25">
      <c r="B243" s="1" t="s">
        <v>280</v>
      </c>
      <c r="C243" s="1"/>
      <c r="D243" s="1"/>
      <c r="E243" s="1"/>
      <c r="F243" s="1"/>
      <c r="G243" s="1"/>
      <c r="H243" s="1"/>
      <c r="I243" s="1"/>
      <c r="J243" s="1"/>
      <c r="K243" s="1"/>
      <c r="L243" s="1"/>
      <c r="M243" s="1"/>
      <c r="N243" s="1"/>
    </row>
    <row r="245" spans="2:14" x14ac:dyDescent="0.25">
      <c r="B245" t="s">
        <v>281</v>
      </c>
    </row>
    <row r="246" spans="2:14" x14ac:dyDescent="0.25">
      <c r="B246" t="s">
        <v>282</v>
      </c>
    </row>
    <row r="247" spans="2:14" x14ac:dyDescent="0.25">
      <c r="B247" t="s">
        <v>283</v>
      </c>
    </row>
    <row r="249" spans="2:14" x14ac:dyDescent="0.25">
      <c r="B249" s="1" t="s">
        <v>284</v>
      </c>
      <c r="C249" s="1"/>
      <c r="D249" s="1"/>
      <c r="E249" s="1"/>
      <c r="F249" s="1"/>
      <c r="G249" s="1"/>
      <c r="H249" s="1"/>
      <c r="I249" s="1"/>
      <c r="J249" s="1"/>
      <c r="K249" s="1"/>
      <c r="L249" s="1"/>
      <c r="M249" s="1"/>
      <c r="N249" s="1"/>
    </row>
    <row r="250" spans="2:14" x14ac:dyDescent="0.25">
      <c r="B250" t="s">
        <v>285</v>
      </c>
    </row>
    <row r="251" spans="2:14" x14ac:dyDescent="0.25">
      <c r="B251" t="s">
        <v>286</v>
      </c>
    </row>
    <row r="252" spans="2:14" x14ac:dyDescent="0.25">
      <c r="B252" s="7" t="s">
        <v>287</v>
      </c>
      <c r="C252" s="7"/>
      <c r="D252" s="7"/>
      <c r="E252" s="7"/>
      <c r="F252" s="7"/>
      <c r="G252" s="7"/>
      <c r="H252" s="7"/>
      <c r="I252" s="7"/>
      <c r="J252" s="7"/>
      <c r="K252" s="7"/>
      <c r="L252" s="7"/>
      <c r="M252" s="7"/>
      <c r="N252" s="7"/>
    </row>
    <row r="253" spans="2:14" x14ac:dyDescent="0.25">
      <c r="B253" s="23" t="s">
        <v>288</v>
      </c>
      <c r="C253" s="23"/>
      <c r="D253" s="23"/>
      <c r="E253" s="23"/>
      <c r="F253" s="23"/>
      <c r="G253" s="23"/>
      <c r="H253" s="23"/>
      <c r="I253" s="23"/>
      <c r="J253" s="23"/>
      <c r="K253" s="23"/>
      <c r="L253" s="23"/>
      <c r="M253" s="23"/>
      <c r="N253" s="23"/>
    </row>
    <row r="256" spans="2:14" x14ac:dyDescent="0.25">
      <c r="B256" s="1" t="s">
        <v>289</v>
      </c>
      <c r="C256" s="1"/>
      <c r="D256" s="1"/>
      <c r="E256" s="1"/>
      <c r="F256" s="1"/>
      <c r="G256" s="1"/>
      <c r="H256" s="1"/>
      <c r="I256" s="1"/>
      <c r="J256" s="1"/>
      <c r="K256" s="1"/>
      <c r="L256" s="1"/>
      <c r="M256" s="1"/>
      <c r="N256" s="1"/>
    </row>
    <row r="257" spans="2:14" x14ac:dyDescent="0.25">
      <c r="B257" t="s">
        <v>290</v>
      </c>
    </row>
    <row r="258" spans="2:14" x14ac:dyDescent="0.25">
      <c r="B258" t="s">
        <v>291</v>
      </c>
    </row>
    <row r="259" spans="2:14" x14ac:dyDescent="0.25">
      <c r="B259" t="s">
        <v>292</v>
      </c>
    </row>
    <row r="260" spans="2:14" x14ac:dyDescent="0.25">
      <c r="B260" t="s">
        <v>293</v>
      </c>
    </row>
    <row r="261" spans="2:14" ht="31.5" x14ac:dyDescent="0.25">
      <c r="B261" s="33" t="s">
        <v>312</v>
      </c>
      <c r="C261" s="33"/>
      <c r="D261" s="33"/>
      <c r="E261" s="33"/>
      <c r="F261" s="33"/>
      <c r="G261" s="33"/>
      <c r="H261" s="33"/>
      <c r="I261" s="33"/>
      <c r="J261" s="33"/>
      <c r="K261" s="33"/>
      <c r="L261" s="33"/>
      <c r="M261" s="33"/>
      <c r="N261" s="33"/>
    </row>
    <row r="265" spans="2:14" x14ac:dyDescent="0.25">
      <c r="B265" t="s">
        <v>320</v>
      </c>
    </row>
    <row r="266" spans="2:14" x14ac:dyDescent="0.25">
      <c r="B266" t="s">
        <v>319</v>
      </c>
    </row>
    <row r="267" spans="2:14" x14ac:dyDescent="0.25">
      <c r="B267" t="s">
        <v>321</v>
      </c>
    </row>
    <row r="268" spans="2:14" x14ac:dyDescent="0.25">
      <c r="B268" t="s">
        <v>322</v>
      </c>
    </row>
    <row r="269" spans="2:14" x14ac:dyDescent="0.25">
      <c r="B269" s="15"/>
      <c r="C269" s="15"/>
      <c r="D269" s="15"/>
      <c r="E269" s="15"/>
      <c r="F269" s="15"/>
      <c r="G269" s="15"/>
      <c r="H269" s="15"/>
      <c r="I269" s="15"/>
      <c r="J269" s="15"/>
      <c r="K269" s="15"/>
      <c r="L269" s="15"/>
      <c r="M269" s="15"/>
      <c r="N269" s="15"/>
    </row>
    <row r="270" spans="2:14" x14ac:dyDescent="0.25">
      <c r="B270" s="15" t="s">
        <v>318</v>
      </c>
      <c r="C270" s="15"/>
      <c r="D270" s="15"/>
      <c r="E270" s="15"/>
      <c r="F270" s="15"/>
      <c r="G270" s="15"/>
      <c r="H270" s="15"/>
      <c r="I270" s="15"/>
      <c r="J270" s="15"/>
      <c r="K270" s="15"/>
      <c r="L270" s="15"/>
      <c r="M270" s="15"/>
      <c r="N270" s="15"/>
    </row>
    <row r="271" spans="2:14" x14ac:dyDescent="0.25">
      <c r="B271" t="s">
        <v>323</v>
      </c>
    </row>
    <row r="273" spans="2:15" x14ac:dyDescent="0.25">
      <c r="B273" s="1" t="s">
        <v>324</v>
      </c>
      <c r="C273" s="1"/>
      <c r="D273" s="1"/>
      <c r="E273" s="1"/>
      <c r="F273" s="1"/>
      <c r="G273" s="1"/>
      <c r="H273" s="1"/>
      <c r="I273" s="1"/>
      <c r="J273" s="1"/>
      <c r="K273" s="1"/>
      <c r="L273" s="1"/>
      <c r="M273" s="1"/>
      <c r="N273" s="1"/>
    </row>
    <row r="274" spans="2:15" x14ac:dyDescent="0.25">
      <c r="B274" s="35" t="s">
        <v>335</v>
      </c>
      <c r="C274" s="35"/>
      <c r="D274" s="35"/>
      <c r="E274" s="35"/>
      <c r="F274" s="35"/>
      <c r="G274" s="35"/>
      <c r="H274" s="35"/>
      <c r="I274" s="35"/>
      <c r="J274" s="35"/>
      <c r="K274" s="35"/>
      <c r="L274" s="35"/>
      <c r="M274" s="35"/>
      <c r="N274" s="35"/>
    </row>
    <row r="275" spans="2:15" x14ac:dyDescent="0.25">
      <c r="B275" t="s">
        <v>325</v>
      </c>
      <c r="O275" t="s">
        <v>329</v>
      </c>
    </row>
    <row r="276" spans="2:15" x14ac:dyDescent="0.25">
      <c r="B276" t="s">
        <v>326</v>
      </c>
    </row>
    <row r="277" spans="2:15" x14ac:dyDescent="0.25">
      <c r="B277" t="s">
        <v>327</v>
      </c>
    </row>
    <row r="278" spans="2:15" x14ac:dyDescent="0.25">
      <c r="B278" t="s">
        <v>328</v>
      </c>
      <c r="O278" t="s">
        <v>330</v>
      </c>
    </row>
    <row r="280" spans="2:15" x14ac:dyDescent="0.25">
      <c r="B280" s="15" t="s">
        <v>331</v>
      </c>
      <c r="C280" s="15"/>
      <c r="D280" s="15"/>
      <c r="E280" s="15"/>
      <c r="F280" s="15"/>
      <c r="G280" s="15"/>
      <c r="H280" s="15"/>
      <c r="I280" s="15"/>
      <c r="J280" s="15"/>
      <c r="K280" s="15"/>
      <c r="L280" s="15"/>
      <c r="M280" s="15"/>
      <c r="N280" s="15"/>
    </row>
    <row r="281" spans="2:15" x14ac:dyDescent="0.25">
      <c r="B281" t="s">
        <v>332</v>
      </c>
    </row>
    <row r="283" spans="2:15" x14ac:dyDescent="0.25">
      <c r="B283" s="35" t="s">
        <v>334</v>
      </c>
      <c r="C283" s="35"/>
      <c r="D283" s="35"/>
      <c r="E283" s="35"/>
      <c r="F283" s="35"/>
      <c r="G283" s="35"/>
      <c r="H283" s="35"/>
      <c r="I283" s="35"/>
      <c r="J283" s="35"/>
      <c r="K283" s="35"/>
      <c r="L283" s="35"/>
      <c r="M283" s="35"/>
      <c r="N283" s="35"/>
    </row>
    <row r="284" spans="2:15" x14ac:dyDescent="0.25">
      <c r="B284" t="s">
        <v>333</v>
      </c>
    </row>
    <row r="286" spans="2:15" x14ac:dyDescent="0.25">
      <c r="B286" t="s">
        <v>336</v>
      </c>
    </row>
    <row r="287" spans="2:15" x14ac:dyDescent="0.25">
      <c r="B287" t="s">
        <v>337</v>
      </c>
    </row>
    <row r="288" spans="2:15" ht="157.5" x14ac:dyDescent="0.25">
      <c r="B288" s="33" t="s">
        <v>338</v>
      </c>
      <c r="C288" s="33"/>
      <c r="D288" s="33"/>
      <c r="E288" s="33"/>
      <c r="F288" s="33"/>
      <c r="G288" s="33"/>
      <c r="H288" s="33"/>
      <c r="I288" s="33"/>
      <c r="J288" s="33"/>
      <c r="K288" s="33"/>
      <c r="L288" s="33"/>
      <c r="M288" s="33"/>
      <c r="N288" s="33"/>
    </row>
    <row r="289" spans="2:2" x14ac:dyDescent="0.25">
      <c r="B289" t="s">
        <v>339</v>
      </c>
    </row>
    <row r="291" spans="2:2" x14ac:dyDescent="0.25">
      <c r="B291" t="s">
        <v>341</v>
      </c>
    </row>
    <row r="292" spans="2:2" x14ac:dyDescent="0.25">
      <c r="B292" t="s">
        <v>340</v>
      </c>
    </row>
    <row r="294" spans="2:2" x14ac:dyDescent="0.25">
      <c r="B294" t="s">
        <v>342</v>
      </c>
    </row>
    <row r="295" spans="2:2" x14ac:dyDescent="0.25">
      <c r="B295" t="s">
        <v>343</v>
      </c>
    </row>
    <row r="296" spans="2:2" x14ac:dyDescent="0.25">
      <c r="B296" t="s">
        <v>344</v>
      </c>
    </row>
    <row r="298" spans="2:2" x14ac:dyDescent="0.25">
      <c r="B298" t="s">
        <v>345</v>
      </c>
    </row>
    <row r="299" spans="2:2" x14ac:dyDescent="0.25">
      <c r="B299" t="s">
        <v>346</v>
      </c>
    </row>
    <row r="301" spans="2:2" x14ac:dyDescent="0.25">
      <c r="B301" t="s">
        <v>347</v>
      </c>
    </row>
  </sheetData>
  <dataConsolidate/>
  <mergeCells count="4">
    <mergeCell ref="R1:U1"/>
    <mergeCell ref="O5:R5"/>
    <mergeCell ref="S5:W5"/>
    <mergeCell ref="C5:M5"/>
  </mergeCells>
  <pageMargins left="0.75" right="0.75" top="1" bottom="1" header="0.5" footer="0.5"/>
  <ignoredErrors>
    <ignoredError sqref="P30" formulaRange="1"/>
  </ignoredErrors>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0B7AB-0DE3-4FBE-A3C1-17D64DF8F7AD}">
  <dimension ref="B3:CY69"/>
  <sheetViews>
    <sheetView zoomScale="70" zoomScaleNormal="70" workbookViewId="0">
      <selection activeCell="C70" sqref="C70"/>
    </sheetView>
  </sheetViews>
  <sheetFormatPr defaultColWidth="8.875" defaultRowHeight="15.75" x14ac:dyDescent="0.25"/>
  <cols>
    <col min="2" max="2" width="29.625" bestFit="1" customWidth="1"/>
    <col min="3" max="3" width="19.25" bestFit="1" customWidth="1"/>
    <col min="4" max="4" width="11" customWidth="1"/>
    <col min="5" max="5" width="24.375" bestFit="1" customWidth="1"/>
    <col min="6" max="6" width="20.375" bestFit="1" customWidth="1"/>
    <col min="7" max="7" width="11" bestFit="1" customWidth="1"/>
    <col min="8" max="8" width="25.875" bestFit="1" customWidth="1"/>
    <col min="9" max="13" width="11" bestFit="1" customWidth="1"/>
    <col min="14" max="14" width="11" customWidth="1"/>
    <col min="15" max="18" width="11" bestFit="1" customWidth="1"/>
    <col min="19" max="23" width="12.125" bestFit="1" customWidth="1"/>
    <col min="24" max="28" width="11" bestFit="1" customWidth="1"/>
    <col min="30" max="30" width="11.875" bestFit="1" customWidth="1"/>
    <col min="32" max="32" width="20.625" bestFit="1" customWidth="1"/>
    <col min="38" max="38" width="10" bestFit="1" customWidth="1"/>
    <col min="40" max="40" width="10.625" bestFit="1" customWidth="1"/>
    <col min="43" max="43" width="11" bestFit="1" customWidth="1"/>
    <col min="44" max="44" width="12.625" bestFit="1" customWidth="1"/>
    <col min="66" max="66" width="15.375" bestFit="1" customWidth="1"/>
  </cols>
  <sheetData>
    <row r="3" spans="2:34" x14ac:dyDescent="0.25">
      <c r="B3" s="81" t="s">
        <v>386</v>
      </c>
    </row>
    <row r="4" spans="2:34" x14ac:dyDescent="0.25">
      <c r="B4" s="60" t="s">
        <v>385</v>
      </c>
      <c r="C4" s="95">
        <v>44926</v>
      </c>
      <c r="D4" s="96">
        <f>EOMONTH(C4,12)</f>
        <v>45291</v>
      </c>
      <c r="E4" s="96">
        <f>EOMONTH(D4,12)</f>
        <v>45657</v>
      </c>
    </row>
    <row r="5" spans="2:34" x14ac:dyDescent="0.25">
      <c r="B5" t="s">
        <v>386</v>
      </c>
      <c r="C5" s="22">
        <f>'BLOCK INC. 3-statement mod'!O57</f>
        <v>-367676</v>
      </c>
      <c r="D5" s="22">
        <f>'BLOCK INC. 3-statement mod'!P57</f>
        <v>-54164</v>
      </c>
      <c r="E5" s="22">
        <f>'BLOCK INC. 3-statement mod'!Q57</f>
        <v>2600288</v>
      </c>
      <c r="F5" s="22"/>
      <c r="G5" s="22"/>
      <c r="H5" s="22"/>
      <c r="I5" s="22"/>
      <c r="J5" s="22"/>
      <c r="K5" s="22"/>
      <c r="L5" s="22"/>
      <c r="M5" s="22"/>
      <c r="N5" s="22"/>
      <c r="O5" s="22"/>
      <c r="P5" s="22"/>
      <c r="Q5" s="22"/>
      <c r="R5" s="22"/>
      <c r="S5" s="22"/>
      <c r="T5" s="22"/>
      <c r="U5" s="22"/>
      <c r="V5" s="22"/>
      <c r="W5" s="22"/>
      <c r="X5" s="22"/>
      <c r="Y5" s="22"/>
      <c r="Z5" s="22"/>
      <c r="AA5" s="22"/>
      <c r="AB5" s="22"/>
      <c r="AC5" s="22"/>
      <c r="AD5" s="22"/>
      <c r="AE5" s="22"/>
    </row>
    <row r="6" spans="2:34" x14ac:dyDescent="0.25">
      <c r="B6" s="64"/>
      <c r="C6" s="64"/>
    </row>
    <row r="7" spans="2:34" x14ac:dyDescent="0.25">
      <c r="B7" s="101" t="s">
        <v>481</v>
      </c>
      <c r="C7" s="64"/>
    </row>
    <row r="8" spans="2:34" x14ac:dyDescent="0.25">
      <c r="B8" s="101" t="s">
        <v>476</v>
      </c>
      <c r="C8" s="94"/>
      <c r="D8" s="18">
        <f>(D5-C5)/C5</f>
        <v>-0.85268551659613356</v>
      </c>
      <c r="E8" s="18">
        <f>(E5-D5)/-D5</f>
        <v>49.007680378110919</v>
      </c>
    </row>
    <row r="9" spans="2:34" x14ac:dyDescent="0.25">
      <c r="B9" s="64"/>
      <c r="C9" s="64"/>
      <c r="L9" s="92"/>
      <c r="M9" s="92"/>
      <c r="N9" s="92"/>
    </row>
    <row r="10" spans="2:34" x14ac:dyDescent="0.25">
      <c r="B10" s="81" t="s">
        <v>477</v>
      </c>
      <c r="C10">
        <v>1</v>
      </c>
      <c r="D10">
        <f>C10+1</f>
        <v>2</v>
      </c>
      <c r="E10">
        <f>D10+1</f>
        <v>3</v>
      </c>
      <c r="F10">
        <f t="shared" ref="F10:S10" si="0">E10+1</f>
        <v>4</v>
      </c>
      <c r="G10">
        <f t="shared" si="0"/>
        <v>5</v>
      </c>
      <c r="H10">
        <f t="shared" si="0"/>
        <v>6</v>
      </c>
      <c r="I10">
        <f t="shared" si="0"/>
        <v>7</v>
      </c>
      <c r="J10">
        <f t="shared" si="0"/>
        <v>8</v>
      </c>
      <c r="K10">
        <f t="shared" si="0"/>
        <v>9</v>
      </c>
      <c r="L10">
        <f t="shared" si="0"/>
        <v>10</v>
      </c>
      <c r="M10">
        <f t="shared" si="0"/>
        <v>11</v>
      </c>
      <c r="O10">
        <f>M10+1</f>
        <v>12</v>
      </c>
      <c r="P10">
        <f t="shared" si="0"/>
        <v>13</v>
      </c>
      <c r="Q10">
        <f t="shared" si="0"/>
        <v>14</v>
      </c>
      <c r="R10">
        <f t="shared" si="0"/>
        <v>15</v>
      </c>
      <c r="S10">
        <f t="shared" si="0"/>
        <v>16</v>
      </c>
      <c r="T10">
        <f t="shared" ref="T10" si="1">S10+1</f>
        <v>17</v>
      </c>
      <c r="U10">
        <f t="shared" ref="U10" si="2">T10+1</f>
        <v>18</v>
      </c>
      <c r="V10">
        <f t="shared" ref="V10" si="3">U10+1</f>
        <v>19</v>
      </c>
      <c r="W10">
        <f t="shared" ref="W10" si="4">V10+1</f>
        <v>20</v>
      </c>
      <c r="X10">
        <f t="shared" ref="X10" si="5">W10+1</f>
        <v>21</v>
      </c>
      <c r="Y10">
        <f t="shared" ref="Y10" si="6">X10+1</f>
        <v>22</v>
      </c>
      <c r="Z10">
        <f t="shared" ref="Z10" si="7">Y10+1</f>
        <v>23</v>
      </c>
      <c r="AA10">
        <f t="shared" ref="AA10" si="8">Z10+1</f>
        <v>24</v>
      </c>
      <c r="AB10">
        <f t="shared" ref="AB10" si="9">AA10+1</f>
        <v>25</v>
      </c>
      <c r="AC10">
        <f t="shared" ref="AC10" si="10">AB10+1</f>
        <v>26</v>
      </c>
      <c r="AD10">
        <f t="shared" ref="AD10" si="11">AC10+1</f>
        <v>27</v>
      </c>
      <c r="AE10">
        <f t="shared" ref="AE10" si="12">AD10+1</f>
        <v>28</v>
      </c>
      <c r="AF10">
        <f t="shared" ref="AF10" si="13">AE10+1</f>
        <v>29</v>
      </c>
      <c r="AG10">
        <f t="shared" ref="AG10" si="14">AF10+1</f>
        <v>30</v>
      </c>
      <c r="AH10">
        <f t="shared" ref="AH10" si="15">AG10+1</f>
        <v>31</v>
      </c>
    </row>
    <row r="11" spans="2:34" x14ac:dyDescent="0.25">
      <c r="B11" s="60" t="s">
        <v>385</v>
      </c>
      <c r="C11" s="95">
        <v>46022</v>
      </c>
      <c r="D11" s="96">
        <f>EOMONTH(C11,12)</f>
        <v>46387</v>
      </c>
      <c r="E11" s="96">
        <f t="shared" ref="E11:S11" si="16">EOMONTH(D11,12)</f>
        <v>46752</v>
      </c>
      <c r="F11" s="96">
        <f t="shared" si="16"/>
        <v>47118</v>
      </c>
      <c r="G11" s="96">
        <f t="shared" si="16"/>
        <v>47483</v>
      </c>
      <c r="H11" s="96">
        <f t="shared" si="16"/>
        <v>47848</v>
      </c>
      <c r="I11" s="96">
        <f t="shared" si="16"/>
        <v>48213</v>
      </c>
      <c r="J11" s="96">
        <f t="shared" si="16"/>
        <v>48579</v>
      </c>
      <c r="K11" s="96">
        <f t="shared" si="16"/>
        <v>48944</v>
      </c>
      <c r="L11" s="96">
        <f t="shared" si="16"/>
        <v>49309</v>
      </c>
      <c r="M11" s="96">
        <f t="shared" si="16"/>
        <v>49674</v>
      </c>
      <c r="N11" s="96"/>
      <c r="O11" s="96">
        <f>EOMONTH(M11,12)</f>
        <v>50040</v>
      </c>
      <c r="P11" s="96">
        <f t="shared" si="16"/>
        <v>50405</v>
      </c>
      <c r="Q11" s="96">
        <f t="shared" si="16"/>
        <v>50770</v>
      </c>
      <c r="R11" s="96">
        <f t="shared" si="16"/>
        <v>51135</v>
      </c>
      <c r="S11" s="96">
        <f t="shared" si="16"/>
        <v>51501</v>
      </c>
      <c r="T11" s="96">
        <f t="shared" ref="T11" si="17">EOMONTH(S11,12)</f>
        <v>51866</v>
      </c>
      <c r="U11" s="96">
        <f t="shared" ref="U11" si="18">EOMONTH(T11,12)</f>
        <v>52231</v>
      </c>
      <c r="V11" s="96">
        <f t="shared" ref="V11" si="19">EOMONTH(U11,12)</f>
        <v>52596</v>
      </c>
      <c r="W11" s="96">
        <f t="shared" ref="W11" si="20">EOMONTH(V11,12)</f>
        <v>52962</v>
      </c>
      <c r="X11" s="96">
        <f t="shared" ref="X11" si="21">EOMONTH(W11,12)</f>
        <v>53327</v>
      </c>
      <c r="Y11" s="96">
        <f t="shared" ref="Y11" si="22">EOMONTH(X11,12)</f>
        <v>53692</v>
      </c>
      <c r="Z11" s="96">
        <f t="shared" ref="Z11" si="23">EOMONTH(Y11,12)</f>
        <v>54057</v>
      </c>
      <c r="AA11" s="96">
        <f t="shared" ref="AA11" si="24">EOMONTH(Z11,12)</f>
        <v>54423</v>
      </c>
      <c r="AB11" s="96">
        <f t="shared" ref="AB11" si="25">EOMONTH(AA11,12)</f>
        <v>54788</v>
      </c>
      <c r="AC11" s="96">
        <f t="shared" ref="AC11" si="26">EOMONTH(AB11,12)</f>
        <v>55153</v>
      </c>
      <c r="AD11" s="96">
        <f t="shared" ref="AD11" si="27">EOMONTH(AC11,12)</f>
        <v>55518</v>
      </c>
      <c r="AE11" s="96">
        <f t="shared" ref="AE11" si="28">EOMONTH(AD11,12)</f>
        <v>55884</v>
      </c>
      <c r="AF11" s="96">
        <f t="shared" ref="AF11" si="29">EOMONTH(AE11,12)</f>
        <v>56249</v>
      </c>
      <c r="AG11" s="96">
        <f t="shared" ref="AG11" si="30">EOMONTH(AF11,12)</f>
        <v>56614</v>
      </c>
      <c r="AH11" s="96">
        <f t="shared" ref="AH11" si="31">EOMONTH(AG11,12)</f>
        <v>56979</v>
      </c>
    </row>
    <row r="12" spans="2:34" x14ac:dyDescent="0.25">
      <c r="B12" t="s">
        <v>477</v>
      </c>
      <c r="C12" s="97" t="e" cm="1">
        <f t="array" ref="C12">'BLOCK INC. 3-statement mod'!#REF!</f>
        <v>#REF!</v>
      </c>
      <c r="D12" s="97"/>
      <c r="E12" s="97"/>
      <c r="F12" s="97"/>
      <c r="G12" s="97"/>
      <c r="H12" s="97"/>
      <c r="I12" s="97"/>
      <c r="J12" s="97"/>
      <c r="K12" s="97"/>
      <c r="L12" s="97"/>
      <c r="M12" s="97"/>
      <c r="N12" s="97"/>
      <c r="O12" s="97"/>
      <c r="P12" s="97"/>
      <c r="Q12" s="97"/>
      <c r="R12" s="97"/>
      <c r="S12" s="97"/>
      <c r="T12" s="97">
        <f t="shared" ref="T12:AH12" si="32">S12*(1+$C$15)</f>
        <v>0</v>
      </c>
      <c r="U12" s="97">
        <f t="shared" si="32"/>
        <v>0</v>
      </c>
      <c r="V12" s="97">
        <f t="shared" si="32"/>
        <v>0</v>
      </c>
      <c r="W12" s="97">
        <f t="shared" si="32"/>
        <v>0</v>
      </c>
      <c r="X12" s="97">
        <f t="shared" si="32"/>
        <v>0</v>
      </c>
      <c r="Y12" s="97">
        <f t="shared" si="32"/>
        <v>0</v>
      </c>
      <c r="Z12" s="97">
        <f t="shared" si="32"/>
        <v>0</v>
      </c>
      <c r="AA12" s="97">
        <f t="shared" si="32"/>
        <v>0</v>
      </c>
      <c r="AB12" s="97">
        <f t="shared" si="32"/>
        <v>0</v>
      </c>
      <c r="AC12" s="97">
        <f t="shared" si="32"/>
        <v>0</v>
      </c>
      <c r="AD12" s="97">
        <f t="shared" si="32"/>
        <v>0</v>
      </c>
      <c r="AE12" s="97">
        <f t="shared" si="32"/>
        <v>0</v>
      </c>
      <c r="AF12" s="97">
        <f t="shared" si="32"/>
        <v>0</v>
      </c>
      <c r="AG12" s="97">
        <f t="shared" si="32"/>
        <v>0</v>
      </c>
      <c r="AH12" s="97">
        <f t="shared" si="32"/>
        <v>0</v>
      </c>
    </row>
    <row r="13" spans="2:34" x14ac:dyDescent="0.25">
      <c r="B13" t="s">
        <v>478</v>
      </c>
      <c r="C13" s="97" t="e">
        <f t="shared" ref="C13:M13" si="33">C12*(1-$C$24)^C10</f>
        <v>#REF!</v>
      </c>
      <c r="D13" s="97">
        <f t="shared" si="33"/>
        <v>0</v>
      </c>
      <c r="E13" s="97">
        <f t="shared" si="33"/>
        <v>0</v>
      </c>
      <c r="F13" s="97">
        <f t="shared" si="33"/>
        <v>0</v>
      </c>
      <c r="G13" s="97">
        <f t="shared" si="33"/>
        <v>0</v>
      </c>
      <c r="H13" s="97">
        <f t="shared" si="33"/>
        <v>0</v>
      </c>
      <c r="I13" s="97">
        <f t="shared" si="33"/>
        <v>0</v>
      </c>
      <c r="J13" s="97">
        <f t="shared" si="33"/>
        <v>0</v>
      </c>
      <c r="K13" s="97">
        <f t="shared" si="33"/>
        <v>0</v>
      </c>
      <c r="L13" s="97">
        <f t="shared" si="33"/>
        <v>0</v>
      </c>
      <c r="M13" s="97">
        <f t="shared" si="33"/>
        <v>0</v>
      </c>
      <c r="N13" s="97"/>
      <c r="O13" s="97">
        <f t="shared" ref="O13:AH13" si="34">O12*(1-$C$24)^O10</f>
        <v>0</v>
      </c>
      <c r="P13" s="97">
        <f t="shared" si="34"/>
        <v>0</v>
      </c>
      <c r="Q13" s="97">
        <f t="shared" si="34"/>
        <v>0</v>
      </c>
      <c r="R13" s="97">
        <f t="shared" si="34"/>
        <v>0</v>
      </c>
      <c r="S13" s="97">
        <f t="shared" si="34"/>
        <v>0</v>
      </c>
      <c r="T13" s="97">
        <f t="shared" si="34"/>
        <v>0</v>
      </c>
      <c r="U13" s="97">
        <f t="shared" si="34"/>
        <v>0</v>
      </c>
      <c r="V13" s="97">
        <f t="shared" si="34"/>
        <v>0</v>
      </c>
      <c r="W13" s="97">
        <f t="shared" si="34"/>
        <v>0</v>
      </c>
      <c r="X13" s="97">
        <f t="shared" si="34"/>
        <v>0</v>
      </c>
      <c r="Y13" s="97">
        <f t="shared" si="34"/>
        <v>0</v>
      </c>
      <c r="Z13" s="97">
        <f t="shared" si="34"/>
        <v>0</v>
      </c>
      <c r="AA13" s="97">
        <f t="shared" si="34"/>
        <v>0</v>
      </c>
      <c r="AB13" s="97">
        <f t="shared" si="34"/>
        <v>0</v>
      </c>
      <c r="AC13" s="97">
        <f t="shared" si="34"/>
        <v>0</v>
      </c>
      <c r="AD13" s="97">
        <f t="shared" si="34"/>
        <v>0</v>
      </c>
      <c r="AE13" s="97">
        <f t="shared" si="34"/>
        <v>0</v>
      </c>
      <c r="AF13" s="97">
        <f t="shared" si="34"/>
        <v>0</v>
      </c>
      <c r="AG13" s="97">
        <f t="shared" si="34"/>
        <v>0</v>
      </c>
      <c r="AH13" s="97">
        <f t="shared" si="34"/>
        <v>0</v>
      </c>
    </row>
    <row r="14" spans="2:34" x14ac:dyDescent="0.25">
      <c r="B14" s="64"/>
      <c r="L14" s="92"/>
      <c r="M14" s="92"/>
      <c r="N14" s="92"/>
    </row>
    <row r="15" spans="2:34" x14ac:dyDescent="0.25">
      <c r="B15" s="64" t="s">
        <v>482</v>
      </c>
      <c r="C15" s="44">
        <v>0.02</v>
      </c>
      <c r="L15" s="92"/>
      <c r="M15" s="92"/>
      <c r="N15" s="92"/>
    </row>
    <row r="16" spans="2:34" x14ac:dyDescent="0.25">
      <c r="B16" s="64"/>
      <c r="L16" s="92"/>
      <c r="M16" s="92"/>
      <c r="N16" s="92"/>
    </row>
    <row r="17" spans="2:14" x14ac:dyDescent="0.25">
      <c r="B17" s="64"/>
      <c r="L17" s="92"/>
      <c r="M17" s="92"/>
      <c r="N17" s="92"/>
    </row>
    <row r="18" spans="2:14" x14ac:dyDescent="0.25">
      <c r="B18" s="61" t="s">
        <v>387</v>
      </c>
      <c r="C18" s="62"/>
    </row>
    <row r="19" spans="2:14" x14ac:dyDescent="0.25">
      <c r="B19" t="s">
        <v>458</v>
      </c>
      <c r="C19">
        <f>('BLOCK INC. 3-statement mod'!Q89+'BLOCK INC. 3-statement mod'!Q94)/('BLOCK INC. 3-statement mod'!Q89+'BLOCK INC. 3-statement mod'!Q94+'BLOCK INC. 3-statement mod'!Q105)</f>
        <v>0.223311891802014</v>
      </c>
    </row>
    <row r="20" spans="2:14" x14ac:dyDescent="0.25">
      <c r="B20" t="s">
        <v>459</v>
      </c>
      <c r="C20">
        <f>'BLOCK INC. 3-statement mod'!Q105/('BLOCK INC. 3-statement mod'!Q89+'BLOCK INC. 3-statement mod'!Q94+'BLOCK INC. 3-statement mod'!Q105)</f>
        <v>0.77668810819798595</v>
      </c>
    </row>
    <row r="21" spans="2:14" x14ac:dyDescent="0.25">
      <c r="B21" t="s">
        <v>388</v>
      </c>
      <c r="C21" s="18">
        <f>0.0408+2.71*(0.08-0.0408)</f>
        <v>0.147032</v>
      </c>
    </row>
    <row r="22" spans="2:14" x14ac:dyDescent="0.25">
      <c r="B22" t="s">
        <v>384</v>
      </c>
      <c r="C22" s="44">
        <v>0.06</v>
      </c>
    </row>
    <row r="23" spans="2:14" x14ac:dyDescent="0.25">
      <c r="B23" t="s">
        <v>389</v>
      </c>
      <c r="C23" s="44">
        <v>0.12</v>
      </c>
    </row>
    <row r="24" spans="2:14" x14ac:dyDescent="0.25">
      <c r="B24" s="65" t="s">
        <v>387</v>
      </c>
      <c r="C24" s="85">
        <f>(C19*C23*C22)+(C20*C21)</f>
        <v>0.11580585154554077</v>
      </c>
    </row>
    <row r="25" spans="2:14" x14ac:dyDescent="0.25">
      <c r="B25" s="64"/>
      <c r="C25" s="64" t="s">
        <v>483</v>
      </c>
    </row>
    <row r="27" spans="2:14" x14ac:dyDescent="0.25">
      <c r="B27" s="66" t="s">
        <v>390</v>
      </c>
    </row>
    <row r="28" spans="2:14" x14ac:dyDescent="0.25">
      <c r="B28" t="s">
        <v>391</v>
      </c>
      <c r="C28" s="18">
        <f>C24</f>
        <v>0.11580585154554077</v>
      </c>
      <c r="D28" s="67"/>
    </row>
    <row r="29" spans="2:14" x14ac:dyDescent="0.25">
      <c r="B29" t="s">
        <v>478</v>
      </c>
      <c r="C29" s="98" t="e">
        <f>SUM(C13:AH13)</f>
        <v>#REF!</v>
      </c>
      <c r="D29" s="67"/>
    </row>
    <row r="30" spans="2:14" x14ac:dyDescent="0.25">
      <c r="B30" t="s">
        <v>392</v>
      </c>
      <c r="C30" s="98">
        <f>AH12*(1+$C$15)/(C$24-$C$15)</f>
        <v>0</v>
      </c>
    </row>
    <row r="31" spans="2:14" x14ac:dyDescent="0.25">
      <c r="B31" t="s">
        <v>479</v>
      </c>
      <c r="C31" s="3" t="e">
        <f>C29+C30</f>
        <v>#REF!</v>
      </c>
    </row>
    <row r="32" spans="2:14" x14ac:dyDescent="0.25">
      <c r="C32" s="3"/>
    </row>
    <row r="33" spans="2:8" x14ac:dyDescent="0.25">
      <c r="B33" t="s">
        <v>393</v>
      </c>
      <c r="C33" s="82">
        <f>'BLOCK INC. 3-statement mod'!Q89+'BLOCK INC. 3-statement mod'!Q94</f>
        <v>6105436</v>
      </c>
      <c r="D33" s="67"/>
    </row>
    <row r="34" spans="2:8" x14ac:dyDescent="0.25">
      <c r="B34" t="s">
        <v>394</v>
      </c>
      <c r="C34" s="82">
        <f>'BLOCK INC. 3-statement mod'!Q69</f>
        <v>8075247</v>
      </c>
      <c r="D34" s="67"/>
    </row>
    <row r="35" spans="2:8" x14ac:dyDescent="0.25">
      <c r="B35" t="s">
        <v>395</v>
      </c>
      <c r="C35" s="82">
        <f>'BLOCK INC. 3-statement mod'!Q70</f>
        <v>403426</v>
      </c>
    </row>
    <row r="36" spans="2:8" x14ac:dyDescent="0.25">
      <c r="B36" s="100" t="s">
        <v>396</v>
      </c>
      <c r="C36" s="83" t="e">
        <f>C31-C33+C34+C35</f>
        <v>#REF!</v>
      </c>
      <c r="D36" s="67"/>
    </row>
    <row r="38" spans="2:8" x14ac:dyDescent="0.25">
      <c r="B38" t="s">
        <v>397</v>
      </c>
      <c r="C38" s="3">
        <v>619480</v>
      </c>
    </row>
    <row r="39" spans="2:8" x14ac:dyDescent="0.25">
      <c r="B39" s="63" t="s">
        <v>398</v>
      </c>
      <c r="C39" s="84" t="e">
        <f>C36/C38</f>
        <v>#REF!</v>
      </c>
    </row>
    <row r="41" spans="2:8" x14ac:dyDescent="0.25">
      <c r="B41" s="1" t="s">
        <v>480</v>
      </c>
      <c r="C41" t="e">
        <f>C31/'BLOCK INC. 3-statement mod'!Q57</f>
        <v>#REF!</v>
      </c>
      <c r="E41" s="1"/>
      <c r="H41" s="1"/>
    </row>
    <row r="43" spans="2:8" x14ac:dyDescent="0.25">
      <c r="B43" t="s">
        <v>484</v>
      </c>
      <c r="C43" s="91"/>
    </row>
    <row r="44" spans="2:8" x14ac:dyDescent="0.25">
      <c r="C44" s="91"/>
    </row>
    <row r="45" spans="2:8" x14ac:dyDescent="0.25">
      <c r="B45" s="1" t="s">
        <v>485</v>
      </c>
      <c r="C45" s="91"/>
    </row>
    <row r="46" spans="2:8" x14ac:dyDescent="0.25">
      <c r="B46" t="s">
        <v>503</v>
      </c>
      <c r="C46" s="18">
        <v>0.35</v>
      </c>
    </row>
    <row r="47" spans="2:8" x14ac:dyDescent="0.25">
      <c r="B47" s="1" t="s">
        <v>504</v>
      </c>
      <c r="C47" s="18">
        <f>(1+0.04)^0.25-1</f>
        <v>9.8534065489688238E-3</v>
      </c>
    </row>
    <row r="48" spans="2:8" x14ac:dyDescent="0.25">
      <c r="B48" s="1"/>
      <c r="C48" s="91"/>
    </row>
    <row r="49" spans="2:32" x14ac:dyDescent="0.25">
      <c r="B49" s="1"/>
      <c r="C49" s="91"/>
    </row>
    <row r="50" spans="2:32" x14ac:dyDescent="0.25">
      <c r="B50" t="s">
        <v>458</v>
      </c>
      <c r="C50" s="18">
        <v>0.223311891802014</v>
      </c>
    </row>
    <row r="51" spans="2:32" x14ac:dyDescent="0.25">
      <c r="B51" t="s">
        <v>459</v>
      </c>
      <c r="C51" s="105">
        <v>0.78</v>
      </c>
    </row>
    <row r="52" spans="2:32" x14ac:dyDescent="0.25">
      <c r="B52" t="s">
        <v>388</v>
      </c>
      <c r="C52" s="18">
        <f>0.04+1*(0.25-0.04)</f>
        <v>0.25</v>
      </c>
    </row>
    <row r="53" spans="2:32" x14ac:dyDescent="0.25">
      <c r="B53" t="s">
        <v>384</v>
      </c>
      <c r="C53" s="44">
        <v>0.06</v>
      </c>
    </row>
    <row r="54" spans="2:32" x14ac:dyDescent="0.25">
      <c r="B54" t="s">
        <v>389</v>
      </c>
      <c r="C54" s="44">
        <v>0.15</v>
      </c>
    </row>
    <row r="55" spans="2:32" x14ac:dyDescent="0.25">
      <c r="B55" s="1" t="s">
        <v>387</v>
      </c>
      <c r="C55" s="85">
        <f>(C50*C54*C53)+(C51*C52)</f>
        <v>0.19700980702621812</v>
      </c>
    </row>
    <row r="57" spans="2:32" x14ac:dyDescent="0.25">
      <c r="B57" t="s">
        <v>515</v>
      </c>
      <c r="C57">
        <f>(1+C55)^0.25-1</f>
        <v>4.5982520695194262E-2</v>
      </c>
    </row>
    <row r="60" spans="2:32" x14ac:dyDescent="0.25">
      <c r="B60" t="s">
        <v>496</v>
      </c>
      <c r="C60">
        <v>77.45</v>
      </c>
      <c r="D60" s="102">
        <v>45839</v>
      </c>
    </row>
    <row r="61" spans="2:32" x14ac:dyDescent="0.25">
      <c r="B61" t="s">
        <v>497</v>
      </c>
    </row>
    <row r="63" spans="2:32" x14ac:dyDescent="0.25">
      <c r="B63" s="81" t="s">
        <v>477</v>
      </c>
      <c r="C63">
        <f>COUNT(C65:BL65)</f>
        <v>62</v>
      </c>
    </row>
    <row r="64" spans="2:32" x14ac:dyDescent="0.25">
      <c r="B64" s="60" t="s">
        <v>385</v>
      </c>
      <c r="C64" s="43" t="s">
        <v>494</v>
      </c>
      <c r="D64" s="43" t="s">
        <v>493</v>
      </c>
      <c r="E64" s="43" t="s">
        <v>492</v>
      </c>
      <c r="F64" s="43" t="s">
        <v>491</v>
      </c>
      <c r="G64" s="43" t="s">
        <v>490</v>
      </c>
      <c r="H64" s="43" t="s">
        <v>489</v>
      </c>
      <c r="I64" s="57" t="s">
        <v>380</v>
      </c>
      <c r="J64" s="57" t="s">
        <v>379</v>
      </c>
      <c r="K64" s="57" t="s">
        <v>378</v>
      </c>
      <c r="L64" s="57" t="s">
        <v>377</v>
      </c>
      <c r="M64" s="57" t="s">
        <v>376</v>
      </c>
      <c r="N64" s="57" t="s">
        <v>505</v>
      </c>
      <c r="O64" s="43" t="s">
        <v>506</v>
      </c>
      <c r="P64" s="57" t="s">
        <v>498</v>
      </c>
      <c r="Q64" s="57" t="s">
        <v>499</v>
      </c>
      <c r="R64" s="57" t="s">
        <v>500</v>
      </c>
      <c r="S64" s="43" t="s">
        <v>507</v>
      </c>
      <c r="T64" s="57" t="s">
        <v>498</v>
      </c>
      <c r="U64" s="57" t="s">
        <v>499</v>
      </c>
      <c r="V64" s="57" t="s">
        <v>500</v>
      </c>
      <c r="W64" s="43" t="s">
        <v>507</v>
      </c>
      <c r="X64" s="57" t="s">
        <v>501</v>
      </c>
      <c r="Y64" s="57" t="s">
        <v>508</v>
      </c>
      <c r="Z64" s="57" t="s">
        <v>509</v>
      </c>
      <c r="AA64" s="43" t="s">
        <v>510</v>
      </c>
      <c r="AB64" s="57" t="s">
        <v>511</v>
      </c>
      <c r="AC64" s="57" t="s">
        <v>512</v>
      </c>
      <c r="AD64" s="57" t="s">
        <v>513</v>
      </c>
      <c r="AE64" s="57" t="s">
        <v>514</v>
      </c>
      <c r="AF64" s="57" t="s">
        <v>502</v>
      </c>
    </row>
    <row r="65" spans="2:103" x14ac:dyDescent="0.25">
      <c r="B65" t="s">
        <v>477</v>
      </c>
      <c r="C65" s="22">
        <f>'BLOCK INC. 3-statement mod'!C52</f>
        <v>-200125</v>
      </c>
      <c r="D65" s="22">
        <f>'BLOCK INC. 3-statement mod'!D52</f>
        <v>-138423</v>
      </c>
      <c r="E65" s="22">
        <f>'BLOCK INC. 3-statement mod'!E52</f>
        <v>137777</v>
      </c>
      <c r="F65" s="22">
        <f>'BLOCK INC. 3-statement mod'!F52</f>
        <v>30915</v>
      </c>
      <c r="G65" s="22">
        <f>'BLOCK INC. 3-statement mod'!G52</f>
        <v>-95242</v>
      </c>
      <c r="H65" s="22">
        <f>'BLOCK INC. 3-statement mod'!H52</f>
        <v>47057</v>
      </c>
      <c r="I65" s="22">
        <f>'BLOCK INC. 3-statement mod'!I52</f>
        <v>293025</v>
      </c>
      <c r="J65" s="22">
        <f>'BLOCK INC. 3-statement mod'!J52</f>
        <v>347375</v>
      </c>
      <c r="K65" s="22">
        <f>'BLOCK INC. 3-statement mod'!K52</f>
        <v>359030</v>
      </c>
      <c r="L65" s="22">
        <f>'BLOCK INC. 3-statement mod'!L52</f>
        <v>362958</v>
      </c>
      <c r="M65" s="22">
        <f>'BLOCK INC. 3-statement mod'!M52</f>
        <v>518184</v>
      </c>
      <c r="N65" s="22">
        <f>M65*(1+0.6)</f>
        <v>829094.40000000002</v>
      </c>
      <c r="O65" s="22">
        <f t="shared" ref="O65" si="35">N65*(1+0.6)</f>
        <v>1326551.04</v>
      </c>
      <c r="P65" s="22">
        <f>O65*(1+0.7)</f>
        <v>2255136.7680000002</v>
      </c>
      <c r="Q65" s="22">
        <f t="shared" ref="Q65:AE65" si="36">P65*(1+0.7)</f>
        <v>3833732.5056000003</v>
      </c>
      <c r="R65" s="22">
        <f t="shared" si="36"/>
        <v>6517345.2595199998</v>
      </c>
      <c r="S65" s="22">
        <f t="shared" si="36"/>
        <v>11079486.941183999</v>
      </c>
      <c r="T65" s="22">
        <f t="shared" si="36"/>
        <v>18835127.800012797</v>
      </c>
      <c r="U65" s="22">
        <f t="shared" si="36"/>
        <v>32019717.260021754</v>
      </c>
      <c r="V65" s="22">
        <f t="shared" si="36"/>
        <v>54433519.342036977</v>
      </c>
      <c r="W65" s="22">
        <f t="shared" si="36"/>
        <v>92536982.881462857</v>
      </c>
      <c r="X65" s="22">
        <f t="shared" si="36"/>
        <v>157312870.89848685</v>
      </c>
      <c r="Y65" s="22">
        <f t="shared" si="36"/>
        <v>267431880.52742764</v>
      </c>
      <c r="Z65" s="22">
        <f t="shared" si="36"/>
        <v>454634196.89662701</v>
      </c>
      <c r="AA65" s="22">
        <f t="shared" si="36"/>
        <v>772878134.72426593</v>
      </c>
      <c r="AB65" s="22">
        <f t="shared" si="36"/>
        <v>1313892829.0312521</v>
      </c>
      <c r="AC65" s="22">
        <f t="shared" si="36"/>
        <v>2233617809.3531284</v>
      </c>
      <c r="AD65" s="22">
        <f t="shared" si="36"/>
        <v>3797150275.9003181</v>
      </c>
      <c r="AE65" s="22">
        <f t="shared" si="36"/>
        <v>6455155469.0305405</v>
      </c>
      <c r="AF65" s="22">
        <f>(AE65*C47)/C55-C47</f>
        <v>322853324.56953079</v>
      </c>
      <c r="AG65">
        <f t="shared" ref="AG65:CR65" si="37">AF65*(1+$C$47)</f>
        <v>326034529.63220054</v>
      </c>
      <c r="AH65">
        <f t="shared" si="37"/>
        <v>329247080.40166843</v>
      </c>
      <c r="AI65">
        <f t="shared" si="37"/>
        <v>332491285.73992711</v>
      </c>
      <c r="AJ65">
        <f t="shared" si="37"/>
        <v>335767457.55231196</v>
      </c>
      <c r="AK65">
        <f t="shared" si="37"/>
        <v>339075910.81748849</v>
      </c>
      <c r="AL65">
        <f t="shared" si="37"/>
        <v>342416963.61773509</v>
      </c>
      <c r="AM65">
        <f t="shared" si="37"/>
        <v>345790937.16952407</v>
      </c>
      <c r="AN65">
        <f t="shared" si="37"/>
        <v>349198155.85440433</v>
      </c>
      <c r="AO65">
        <f t="shared" si="37"/>
        <v>352638947.25018793</v>
      </c>
      <c r="AP65">
        <f t="shared" si="37"/>
        <v>356113642.16244441</v>
      </c>
      <c r="AQ65">
        <f t="shared" si="37"/>
        <v>359622574.65630496</v>
      </c>
      <c r="AR65">
        <f t="shared" si="37"/>
        <v>363166082.08858043</v>
      </c>
      <c r="AS65">
        <f t="shared" si="37"/>
        <v>366744505.14019537</v>
      </c>
      <c r="AT65">
        <f t="shared" si="37"/>
        <v>370358187.8489421</v>
      </c>
      <c r="AU65">
        <f t="shared" si="37"/>
        <v>374007477.64255708</v>
      </c>
      <c r="AV65">
        <f t="shared" si="37"/>
        <v>377692725.37212354</v>
      </c>
      <c r="AW65">
        <f t="shared" si="37"/>
        <v>381414285.34580308</v>
      </c>
      <c r="AX65">
        <f t="shared" si="37"/>
        <v>385172515.36289966</v>
      </c>
      <c r="AY65">
        <f t="shared" si="37"/>
        <v>388967776.74825925</v>
      </c>
      <c r="AZ65">
        <f t="shared" si="37"/>
        <v>392800434.38700837</v>
      </c>
      <c r="BA65">
        <f t="shared" si="37"/>
        <v>396670856.75963509</v>
      </c>
      <c r="BB65">
        <f t="shared" si="37"/>
        <v>400579415.97741556</v>
      </c>
      <c r="BC65">
        <f t="shared" si="37"/>
        <v>404526487.81818956</v>
      </c>
      <c r="BD65">
        <f t="shared" si="37"/>
        <v>408512451.76248866</v>
      </c>
      <c r="BE65">
        <f t="shared" si="37"/>
        <v>412537691.03002048</v>
      </c>
      <c r="BF65">
        <f t="shared" si="37"/>
        <v>416602592.61651218</v>
      </c>
      <c r="BG65">
        <f t="shared" si="37"/>
        <v>420707547.33091712</v>
      </c>
      <c r="BH65">
        <f t="shared" si="37"/>
        <v>424852949.8329882</v>
      </c>
      <c r="BI65">
        <f t="shared" si="37"/>
        <v>429039198.67122132</v>
      </c>
      <c r="BJ65">
        <f t="shared" si="37"/>
        <v>433266696.32117265</v>
      </c>
      <c r="BK65">
        <f t="shared" si="37"/>
        <v>437535849.22415376</v>
      </c>
      <c r="BL65">
        <f t="shared" si="37"/>
        <v>441847067.82630765</v>
      </c>
      <c r="BM65">
        <f t="shared" si="37"/>
        <v>446200766.61807007</v>
      </c>
      <c r="BN65">
        <f t="shared" si="37"/>
        <v>450597364.17401946</v>
      </c>
      <c r="BO65">
        <f t="shared" si="37"/>
        <v>455037283.19311982</v>
      </c>
      <c r="BP65">
        <f t="shared" si="37"/>
        <v>459520950.53935987</v>
      </c>
      <c r="BQ65">
        <f t="shared" si="37"/>
        <v>464048797.28279275</v>
      </c>
      <c r="BR65">
        <f t="shared" si="37"/>
        <v>468621258.74098015</v>
      </c>
      <c r="BS65">
        <f t="shared" si="37"/>
        <v>473238774.52084452</v>
      </c>
      <c r="BT65">
        <f t="shared" si="37"/>
        <v>477901788.56093419</v>
      </c>
      <c r="BU65">
        <f t="shared" si="37"/>
        <v>482610749.17410439</v>
      </c>
      <c r="BV65">
        <f t="shared" si="37"/>
        <v>487366109.09061927</v>
      </c>
      <c r="BW65">
        <f t="shared" si="37"/>
        <v>492168325.50167823</v>
      </c>
      <c r="BX65">
        <f t="shared" si="37"/>
        <v>497017860.1033715</v>
      </c>
      <c r="BY65">
        <f t="shared" si="37"/>
        <v>501915179.14106852</v>
      </c>
      <c r="BZ65">
        <f t="shared" si="37"/>
        <v>506860753.45424396</v>
      </c>
      <c r="CA65">
        <f t="shared" si="37"/>
        <v>511855058.52174526</v>
      </c>
      <c r="CB65">
        <f t="shared" si="37"/>
        <v>516898574.50750625</v>
      </c>
      <c r="CC65">
        <f t="shared" si="37"/>
        <v>521991786.30671114</v>
      </c>
      <c r="CD65">
        <f t="shared" si="37"/>
        <v>527135183.5924136</v>
      </c>
      <c r="CE65">
        <f t="shared" si="37"/>
        <v>532329260.86261499</v>
      </c>
      <c r="CF65">
        <f t="shared" si="37"/>
        <v>537574517.48780644</v>
      </c>
      <c r="CG65">
        <f t="shared" si="37"/>
        <v>542871457.75897956</v>
      </c>
      <c r="CH65">
        <f t="shared" si="37"/>
        <v>548220590.93611014</v>
      </c>
      <c r="CI65">
        <f t="shared" si="37"/>
        <v>553622431.29711962</v>
      </c>
      <c r="CJ65">
        <f t="shared" si="37"/>
        <v>559077498.18731868</v>
      </c>
      <c r="CK65">
        <f t="shared" si="37"/>
        <v>564586316.06933868</v>
      </c>
      <c r="CL65">
        <f t="shared" si="37"/>
        <v>570149414.57355452</v>
      </c>
      <c r="CM65">
        <f t="shared" si="37"/>
        <v>575767328.54900432</v>
      </c>
      <c r="CN65">
        <f t="shared" si="37"/>
        <v>581440598.1148113</v>
      </c>
      <c r="CO65">
        <f t="shared" si="37"/>
        <v>587169768.71211219</v>
      </c>
      <c r="CP65">
        <f t="shared" si="37"/>
        <v>592955391.15649664</v>
      </c>
      <c r="CQ65">
        <f t="shared" si="37"/>
        <v>598798021.69096446</v>
      </c>
      <c r="CR65">
        <f t="shared" si="37"/>
        <v>604698222.0394038</v>
      </c>
      <c r="CS65">
        <f t="shared" ref="CS65:CY65" si="38">CR65*(1+$C$47)</f>
        <v>610656559.46059668</v>
      </c>
      <c r="CT65">
        <f t="shared" si="38"/>
        <v>616673606.80275655</v>
      </c>
      <c r="CU65">
        <f t="shared" si="38"/>
        <v>622749942.55860305</v>
      </c>
      <c r="CV65">
        <f t="shared" si="38"/>
        <v>628886150.92097998</v>
      </c>
      <c r="CW65">
        <f t="shared" si="38"/>
        <v>635082821.83902061</v>
      </c>
      <c r="CX65">
        <f t="shared" si="38"/>
        <v>641340551.07486677</v>
      </c>
      <c r="CY65">
        <f t="shared" si="38"/>
        <v>647659940.26094711</v>
      </c>
    </row>
    <row r="66" spans="2:103" x14ac:dyDescent="0.25">
      <c r="B66" t="s">
        <v>478</v>
      </c>
      <c r="C66" s="91">
        <f>NPV(C57,C65:AF65)</f>
        <v>4639867013.858674</v>
      </c>
    </row>
    <row r="68" spans="2:103" x14ac:dyDescent="0.25">
      <c r="B68" t="s">
        <v>240</v>
      </c>
      <c r="C68" s="24">
        <f>C66/619480000</f>
        <v>7.489938357749522</v>
      </c>
    </row>
    <row r="69" spans="2:103" x14ac:dyDescent="0.25">
      <c r="C69" s="4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5DCD9-FC07-4BF2-A1CF-108B42BAB142}">
  <dimension ref="B2:H57"/>
  <sheetViews>
    <sheetView topLeftCell="A10" zoomScaleNormal="100" workbookViewId="0">
      <selection activeCell="B16" sqref="B16"/>
    </sheetView>
  </sheetViews>
  <sheetFormatPr defaultColWidth="8.875" defaultRowHeight="15.75" x14ac:dyDescent="0.25"/>
  <cols>
    <col min="2" max="2" width="36.625" bestFit="1" customWidth="1"/>
    <col min="3" max="3" width="10.875" bestFit="1" customWidth="1"/>
    <col min="4" max="4" width="9.625" bestFit="1" customWidth="1"/>
    <col min="5" max="5" width="18.875" bestFit="1" customWidth="1"/>
    <col min="6" max="6" width="10.875" bestFit="1" customWidth="1"/>
  </cols>
  <sheetData>
    <row r="2" spans="2:6" x14ac:dyDescent="0.25">
      <c r="B2" s="1" t="s">
        <v>469</v>
      </c>
      <c r="C2" s="1"/>
      <c r="D2" s="1"/>
      <c r="E2" s="1"/>
      <c r="F2" s="1"/>
    </row>
    <row r="3" spans="2:6" x14ac:dyDescent="0.25">
      <c r="E3" s="33"/>
    </row>
    <row r="4" spans="2:6" x14ac:dyDescent="0.25">
      <c r="C4" t="s">
        <v>426</v>
      </c>
      <c r="D4" t="s">
        <v>253</v>
      </c>
      <c r="E4" s="33" t="s">
        <v>474</v>
      </c>
      <c r="F4" t="s">
        <v>232</v>
      </c>
    </row>
    <row r="5" spans="2:6" x14ac:dyDescent="0.25">
      <c r="B5" t="s">
        <v>460</v>
      </c>
      <c r="C5" s="3">
        <v>352699</v>
      </c>
      <c r="D5" s="3">
        <v>6260981</v>
      </c>
      <c r="E5" t="s">
        <v>73</v>
      </c>
      <c r="F5" s="3">
        <f>SUM(C5:E5)</f>
        <v>6613680</v>
      </c>
    </row>
    <row r="6" spans="2:6" x14ac:dyDescent="0.25">
      <c r="B6" t="s">
        <v>461</v>
      </c>
      <c r="C6" s="3">
        <v>5695976</v>
      </c>
      <c r="D6" s="3">
        <v>1278933</v>
      </c>
      <c r="E6" s="3">
        <v>189890</v>
      </c>
      <c r="F6" s="3">
        <f t="shared" ref="F6:F14" si="0">SUM(C6:E6)</f>
        <v>7164799</v>
      </c>
    </row>
    <row r="7" spans="2:6" x14ac:dyDescent="0.25">
      <c r="B7" t="s">
        <v>462</v>
      </c>
      <c r="C7" t="s">
        <v>73</v>
      </c>
      <c r="D7" s="3">
        <v>141742</v>
      </c>
      <c r="E7">
        <v>1627</v>
      </c>
      <c r="F7" s="3">
        <f t="shared" si="0"/>
        <v>143369</v>
      </c>
    </row>
    <row r="8" spans="2:6" x14ac:dyDescent="0.25">
      <c r="B8" t="s">
        <v>463</v>
      </c>
      <c r="C8" s="3">
        <v>10199205</v>
      </c>
      <c r="D8" t="s">
        <v>73</v>
      </c>
      <c r="E8" t="s">
        <v>73</v>
      </c>
      <c r="F8" s="3">
        <f t="shared" si="0"/>
        <v>10199205</v>
      </c>
    </row>
    <row r="9" spans="2:6" x14ac:dyDescent="0.25">
      <c r="B9" s="1" t="s">
        <v>464</v>
      </c>
      <c r="C9" s="14">
        <f>SUM(C5:C8)</f>
        <v>16247880</v>
      </c>
      <c r="D9" s="14">
        <f t="shared" ref="D9:E9" si="1">SUM(D5:D8)</f>
        <v>7681656</v>
      </c>
      <c r="E9" s="14">
        <f t="shared" si="1"/>
        <v>191517</v>
      </c>
      <c r="F9" s="14">
        <f t="shared" si="0"/>
        <v>24121053</v>
      </c>
    </row>
    <row r="10" spans="2:6" x14ac:dyDescent="0.25">
      <c r="B10" t="s">
        <v>465</v>
      </c>
      <c r="C10" s="3">
        <v>11008869</v>
      </c>
      <c r="D10" s="3">
        <v>4082744</v>
      </c>
      <c r="E10" s="3">
        <v>140404</v>
      </c>
      <c r="F10" s="3">
        <f t="shared" si="0"/>
        <v>15232017</v>
      </c>
    </row>
    <row r="11" spans="2:6" x14ac:dyDescent="0.25">
      <c r="B11" s="1" t="s">
        <v>466</v>
      </c>
      <c r="C11" s="14">
        <f>C9-C10</f>
        <v>5239011</v>
      </c>
      <c r="D11" s="14">
        <f t="shared" ref="D11:E11" si="2">D9-D10</f>
        <v>3598912</v>
      </c>
      <c r="E11" s="14">
        <f t="shared" si="2"/>
        <v>51113</v>
      </c>
      <c r="F11" s="14">
        <f t="shared" si="0"/>
        <v>8889036</v>
      </c>
    </row>
    <row r="12" spans="2:6" x14ac:dyDescent="0.25">
      <c r="B12" t="s">
        <v>215</v>
      </c>
      <c r="F12" s="3">
        <f t="shared" si="0"/>
        <v>0</v>
      </c>
    </row>
    <row r="13" spans="2:6" x14ac:dyDescent="0.25">
      <c r="B13" t="s">
        <v>467</v>
      </c>
      <c r="C13" s="3">
        <v>185185</v>
      </c>
      <c r="D13" s="3">
        <v>36837</v>
      </c>
      <c r="E13" t="s">
        <v>73</v>
      </c>
      <c r="F13" s="3">
        <f t="shared" si="0"/>
        <v>222022</v>
      </c>
    </row>
    <row r="14" spans="2:6" x14ac:dyDescent="0.25">
      <c r="B14" t="s">
        <v>468</v>
      </c>
      <c r="C14" s="3">
        <v>55343</v>
      </c>
      <c r="D14" s="3">
        <v>7726</v>
      </c>
      <c r="E14" s="3">
        <v>5295</v>
      </c>
      <c r="F14" s="3">
        <f t="shared" si="0"/>
        <v>68364</v>
      </c>
    </row>
    <row r="15" spans="2:6" x14ac:dyDescent="0.25">
      <c r="C15" s="3"/>
      <c r="D15" s="3"/>
      <c r="E15" s="3"/>
      <c r="F15" s="3"/>
    </row>
    <row r="16" spans="2:6" x14ac:dyDescent="0.25">
      <c r="B16" t="s">
        <v>234</v>
      </c>
      <c r="C16" s="3"/>
      <c r="D16" s="3"/>
      <c r="E16" s="3"/>
      <c r="F16" s="3"/>
    </row>
    <row r="17" spans="2:6" x14ac:dyDescent="0.25">
      <c r="B17" t="s">
        <v>475</v>
      </c>
      <c r="C17" s="90">
        <f>C11/C9</f>
        <v>0.32244274329943351</v>
      </c>
      <c r="D17" s="90">
        <f t="shared" ref="D17:F17" si="3">D11/D9</f>
        <v>0.46850731144430313</v>
      </c>
      <c r="E17" s="90">
        <f t="shared" si="3"/>
        <v>0.26688492405373937</v>
      </c>
      <c r="F17" s="90">
        <f t="shared" si="3"/>
        <v>0.36851774257118874</v>
      </c>
    </row>
    <row r="18" spans="2:6" x14ac:dyDescent="0.25">
      <c r="C18" s="3"/>
      <c r="D18" s="3"/>
      <c r="E18" s="3"/>
      <c r="F18" s="3"/>
    </row>
    <row r="19" spans="2:6" x14ac:dyDescent="0.25">
      <c r="C19" s="3"/>
      <c r="D19" s="3"/>
      <c r="E19" s="3"/>
      <c r="F19" s="3"/>
    </row>
    <row r="20" spans="2:6" x14ac:dyDescent="0.25">
      <c r="C20" s="3"/>
      <c r="D20" s="3"/>
      <c r="E20" s="3"/>
      <c r="F20" s="3"/>
    </row>
    <row r="21" spans="2:6" x14ac:dyDescent="0.25">
      <c r="B21" s="1" t="s">
        <v>470</v>
      </c>
      <c r="C21" s="1"/>
      <c r="D21" s="1"/>
      <c r="E21" s="1"/>
      <c r="F21" s="1"/>
    </row>
    <row r="22" spans="2:6" x14ac:dyDescent="0.25">
      <c r="E22" s="33"/>
    </row>
    <row r="23" spans="2:6" x14ac:dyDescent="0.25">
      <c r="C23" t="s">
        <v>426</v>
      </c>
      <c r="D23" t="s">
        <v>253</v>
      </c>
      <c r="E23" s="33" t="s">
        <v>474</v>
      </c>
      <c r="F23" t="s">
        <v>232</v>
      </c>
    </row>
    <row r="24" spans="2:6" x14ac:dyDescent="0.25">
      <c r="B24" t="s">
        <v>460</v>
      </c>
      <c r="C24" s="3">
        <v>498176</v>
      </c>
      <c r="D24" s="3">
        <v>5817125</v>
      </c>
      <c r="E24" t="s">
        <v>73</v>
      </c>
      <c r="F24" s="3">
        <f>SUM(C24:E24)</f>
        <v>6315301</v>
      </c>
    </row>
    <row r="25" spans="2:6" x14ac:dyDescent="0.25">
      <c r="B25" t="s">
        <v>461</v>
      </c>
      <c r="C25" s="3">
        <v>4685208</v>
      </c>
      <c r="D25" s="3">
        <v>1059081</v>
      </c>
      <c r="E25" s="3">
        <v>205646</v>
      </c>
      <c r="F25" s="3">
        <f t="shared" ref="F25:F32" si="4">SUM(C25:E25)</f>
        <v>5949935</v>
      </c>
    </row>
    <row r="26" spans="2:6" x14ac:dyDescent="0.25">
      <c r="B26" t="s">
        <v>462</v>
      </c>
      <c r="D26" s="3">
        <v>157178</v>
      </c>
      <c r="E26" t="s">
        <v>73</v>
      </c>
      <c r="F26" s="3">
        <f t="shared" si="4"/>
        <v>157178</v>
      </c>
    </row>
    <row r="27" spans="2:6" x14ac:dyDescent="0.25">
      <c r="B27" t="s">
        <v>463</v>
      </c>
      <c r="C27" s="3">
        <v>9498302</v>
      </c>
      <c r="E27" t="s">
        <v>73</v>
      </c>
      <c r="F27" s="3">
        <f t="shared" si="4"/>
        <v>9498302</v>
      </c>
    </row>
    <row r="28" spans="2:6" x14ac:dyDescent="0.25">
      <c r="B28" s="1" t="s">
        <v>464</v>
      </c>
      <c r="C28" s="14">
        <f>SUM(C24:C27)</f>
        <v>14681686</v>
      </c>
      <c r="D28" s="14">
        <f>SUM(D24:D27)</f>
        <v>7033384</v>
      </c>
      <c r="E28" s="14">
        <f>SUM(E24:E27)</f>
        <v>205646</v>
      </c>
      <c r="F28" s="14">
        <f t="shared" si="4"/>
        <v>21920716</v>
      </c>
    </row>
    <row r="29" spans="2:6" x14ac:dyDescent="0.25">
      <c r="B29" t="s">
        <v>465</v>
      </c>
      <c r="C29" s="3">
        <v>10358223</v>
      </c>
      <c r="D29" s="3">
        <v>3904730</v>
      </c>
      <c r="E29" s="3">
        <v>147784</v>
      </c>
      <c r="F29" s="3">
        <f t="shared" si="4"/>
        <v>14410737</v>
      </c>
    </row>
    <row r="30" spans="2:6" x14ac:dyDescent="0.25">
      <c r="B30" s="1" t="s">
        <v>466</v>
      </c>
      <c r="C30" s="14">
        <f>C28-C29</f>
        <v>4323463</v>
      </c>
      <c r="D30" s="14">
        <f t="shared" ref="D30:E30" si="5">D28-D29</f>
        <v>3128654</v>
      </c>
      <c r="E30" s="14">
        <f t="shared" si="5"/>
        <v>57862</v>
      </c>
      <c r="F30" s="14">
        <f t="shared" si="4"/>
        <v>7509979</v>
      </c>
    </row>
    <row r="31" spans="2:6" x14ac:dyDescent="0.25">
      <c r="B31" t="s">
        <v>467</v>
      </c>
      <c r="C31" s="3">
        <v>142222</v>
      </c>
      <c r="D31" s="3">
        <v>28011</v>
      </c>
      <c r="E31" t="s">
        <v>6</v>
      </c>
      <c r="F31" s="3">
        <f t="shared" si="4"/>
        <v>170233</v>
      </c>
    </row>
    <row r="32" spans="2:6" x14ac:dyDescent="0.25">
      <c r="B32" t="s">
        <v>468</v>
      </c>
      <c r="C32" s="3">
        <v>56135</v>
      </c>
      <c r="D32" s="3">
        <v>10632</v>
      </c>
      <c r="E32" s="3">
        <v>6062</v>
      </c>
      <c r="F32" s="3">
        <f t="shared" si="4"/>
        <v>72829</v>
      </c>
    </row>
    <row r="34" spans="2:6" x14ac:dyDescent="0.25">
      <c r="B34" t="s">
        <v>234</v>
      </c>
      <c r="C34" s="3"/>
      <c r="D34" s="3"/>
      <c r="E34" s="3"/>
      <c r="F34" s="3"/>
    </row>
    <row r="35" spans="2:6" x14ac:dyDescent="0.25">
      <c r="B35" t="s">
        <v>475</v>
      </c>
      <c r="C35" s="90">
        <f>C30/C28</f>
        <v>0.29448000726891993</v>
      </c>
      <c r="D35" s="90">
        <f t="shared" ref="D35:F35" si="6">D30/D28</f>
        <v>0.44482911781867734</v>
      </c>
      <c r="E35" s="90">
        <f t="shared" si="6"/>
        <v>0.28136700932670705</v>
      </c>
      <c r="F35" s="90">
        <f t="shared" si="6"/>
        <v>0.34259734034235012</v>
      </c>
    </row>
    <row r="38" spans="2:6" x14ac:dyDescent="0.25">
      <c r="B38" s="1" t="s">
        <v>471</v>
      </c>
      <c r="C38" s="1"/>
      <c r="D38" s="1"/>
      <c r="E38" s="1"/>
      <c r="F38" s="1"/>
    </row>
    <row r="39" spans="2:6" x14ac:dyDescent="0.25">
      <c r="E39" s="33"/>
    </row>
    <row r="40" spans="2:6" x14ac:dyDescent="0.25">
      <c r="C40" t="s">
        <v>426</v>
      </c>
      <c r="D40" t="s">
        <v>253</v>
      </c>
      <c r="E40" s="33" t="s">
        <v>474</v>
      </c>
      <c r="F40" t="s">
        <v>232</v>
      </c>
    </row>
    <row r="41" spans="2:6" x14ac:dyDescent="0.25">
      <c r="B41" t="s">
        <v>460</v>
      </c>
      <c r="C41" s="3">
        <v>466171</v>
      </c>
      <c r="D41" s="3">
        <v>5235369</v>
      </c>
      <c r="E41" t="s">
        <v>73</v>
      </c>
      <c r="F41" s="3">
        <f t="shared" ref="F41:F50" si="7">SUM(C41:E41)</f>
        <v>5701540</v>
      </c>
    </row>
    <row r="42" spans="2:6" x14ac:dyDescent="0.25">
      <c r="B42" t="s">
        <v>461</v>
      </c>
      <c r="C42" s="3">
        <v>3452777</v>
      </c>
      <c r="D42" s="3">
        <v>894350</v>
      </c>
      <c r="E42" s="3">
        <v>205646</v>
      </c>
      <c r="F42" s="3">
        <f t="shared" si="7"/>
        <v>4552773</v>
      </c>
    </row>
    <row r="43" spans="2:6" x14ac:dyDescent="0.25">
      <c r="B43" t="s">
        <v>462</v>
      </c>
      <c r="C43" t="s">
        <v>73</v>
      </c>
      <c r="D43" s="3">
        <v>164418</v>
      </c>
      <c r="E43" t="s">
        <v>73</v>
      </c>
      <c r="F43" s="3">
        <f t="shared" si="7"/>
        <v>164418</v>
      </c>
    </row>
    <row r="44" spans="2:6" x14ac:dyDescent="0.25">
      <c r="B44" t="s">
        <v>463</v>
      </c>
      <c r="C44" s="3">
        <v>7112856</v>
      </c>
      <c r="D44" t="s">
        <v>73</v>
      </c>
      <c r="E44" t="s">
        <v>73</v>
      </c>
      <c r="F44" s="3">
        <f t="shared" si="7"/>
        <v>7112856</v>
      </c>
    </row>
    <row r="45" spans="2:6" x14ac:dyDescent="0.25">
      <c r="B45" s="1" t="s">
        <v>464</v>
      </c>
      <c r="C45" s="14">
        <f>SUM(C41:C44)</f>
        <v>11031804</v>
      </c>
      <c r="D45" s="14">
        <f t="shared" ref="D45:E45" si="8">SUM(D41:D44)</f>
        <v>6294137</v>
      </c>
      <c r="E45" s="14">
        <f t="shared" si="8"/>
        <v>205646</v>
      </c>
      <c r="F45" s="14">
        <f t="shared" si="7"/>
        <v>17531587</v>
      </c>
    </row>
    <row r="46" spans="2:6" x14ac:dyDescent="0.25">
      <c r="B46" t="s">
        <v>465</v>
      </c>
      <c r="C46" s="3">
        <v>7786760</v>
      </c>
      <c r="D46" s="3">
        <v>3587236</v>
      </c>
      <c r="E46" s="3">
        <v>165699</v>
      </c>
      <c r="F46" s="3">
        <f t="shared" si="7"/>
        <v>11539695</v>
      </c>
    </row>
    <row r="47" spans="2:6" x14ac:dyDescent="0.25">
      <c r="B47" s="1" t="s">
        <v>466</v>
      </c>
      <c r="C47" s="14">
        <f>C45-C46</f>
        <v>3245044</v>
      </c>
      <c r="D47" s="14">
        <f t="shared" ref="D47:E47" si="9">D45-D46</f>
        <v>2706901</v>
      </c>
      <c r="E47" s="14">
        <f t="shared" si="9"/>
        <v>39947</v>
      </c>
      <c r="F47" s="14">
        <f t="shared" si="7"/>
        <v>5991892</v>
      </c>
    </row>
    <row r="48" spans="2:6" x14ac:dyDescent="0.25">
      <c r="B48" t="s">
        <v>215</v>
      </c>
      <c r="F48" s="3"/>
    </row>
    <row r="49" spans="2:8" x14ac:dyDescent="0.25">
      <c r="B49" t="s">
        <v>467</v>
      </c>
      <c r="C49" s="3">
        <v>29026</v>
      </c>
      <c r="D49" s="3">
        <v>1193</v>
      </c>
      <c r="E49" t="s">
        <v>73</v>
      </c>
      <c r="F49" s="3">
        <f t="shared" si="7"/>
        <v>30219</v>
      </c>
    </row>
    <row r="50" spans="2:8" x14ac:dyDescent="0.25">
      <c r="B50" t="s">
        <v>468</v>
      </c>
      <c r="C50" s="3">
        <v>53900</v>
      </c>
      <c r="D50" s="3">
        <v>10494</v>
      </c>
      <c r="E50" s="3">
        <v>5800</v>
      </c>
      <c r="F50" s="3">
        <f t="shared" si="7"/>
        <v>70194</v>
      </c>
    </row>
    <row r="53" spans="2:8" x14ac:dyDescent="0.25">
      <c r="B53" t="s">
        <v>234</v>
      </c>
    </row>
    <row r="54" spans="2:8" x14ac:dyDescent="0.25">
      <c r="B54" t="s">
        <v>475</v>
      </c>
      <c r="C54" s="18">
        <f>C47/C45</f>
        <v>0.294153521944371</v>
      </c>
      <c r="D54" s="18">
        <f t="shared" ref="D54:F54" si="10">D47/D45</f>
        <v>0.43006706082184104</v>
      </c>
      <c r="E54" s="18">
        <f t="shared" si="10"/>
        <v>0.19425128619083279</v>
      </c>
      <c r="F54" s="18">
        <f t="shared" si="10"/>
        <v>0.34177693097607192</v>
      </c>
    </row>
    <row r="55" spans="2:8" x14ac:dyDescent="0.25">
      <c r="H55" t="s">
        <v>472</v>
      </c>
    </row>
    <row r="57" spans="2:8" x14ac:dyDescent="0.25">
      <c r="H57" t="s">
        <v>473</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7929C-8E8E-4F11-954F-D9E77457A8D2}">
  <dimension ref="B3:C198"/>
  <sheetViews>
    <sheetView topLeftCell="A60" zoomScale="85" zoomScaleNormal="85" workbookViewId="0">
      <selection activeCell="B85" sqref="B85"/>
    </sheetView>
  </sheetViews>
  <sheetFormatPr defaultColWidth="8.875" defaultRowHeight="15.75" x14ac:dyDescent="0.25"/>
  <cols>
    <col min="2" max="2" width="255.625" bestFit="1" customWidth="1"/>
    <col min="3" max="3" width="35.125" bestFit="1" customWidth="1"/>
  </cols>
  <sheetData>
    <row r="3" spans="2:2" x14ac:dyDescent="0.25">
      <c r="B3" t="s">
        <v>399</v>
      </c>
    </row>
    <row r="4" spans="2:2" x14ac:dyDescent="0.25">
      <c r="B4" t="s">
        <v>400</v>
      </c>
    </row>
    <row r="5" spans="2:2" x14ac:dyDescent="0.25">
      <c r="B5" t="s">
        <v>401</v>
      </c>
    </row>
    <row r="32" spans="2:3" x14ac:dyDescent="0.25">
      <c r="B32" s="1" t="s">
        <v>294</v>
      </c>
      <c r="C32" s="11" t="s">
        <v>295</v>
      </c>
    </row>
    <row r="33" spans="2:3" x14ac:dyDescent="0.25">
      <c r="B33" t="s">
        <v>248</v>
      </c>
    </row>
    <row r="34" spans="2:3" x14ac:dyDescent="0.25">
      <c r="B34" t="s">
        <v>249</v>
      </c>
    </row>
    <row r="35" spans="2:3" x14ac:dyDescent="0.25">
      <c r="B35" t="s">
        <v>302</v>
      </c>
    </row>
    <row r="36" spans="2:3" x14ac:dyDescent="0.25">
      <c r="B36" t="s">
        <v>252</v>
      </c>
      <c r="C36" t="s">
        <v>300</v>
      </c>
    </row>
    <row r="37" spans="2:3" x14ac:dyDescent="0.25">
      <c r="B37" t="s">
        <v>253</v>
      </c>
      <c r="C37" t="s">
        <v>301</v>
      </c>
    </row>
    <row r="38" spans="2:3" x14ac:dyDescent="0.25">
      <c r="B38" t="s">
        <v>254</v>
      </c>
      <c r="C38" t="s">
        <v>296</v>
      </c>
    </row>
    <row r="39" spans="2:3" x14ac:dyDescent="0.25">
      <c r="B39" t="s">
        <v>255</v>
      </c>
      <c r="C39" t="s">
        <v>297</v>
      </c>
    </row>
    <row r="40" spans="2:3" x14ac:dyDescent="0.25">
      <c r="B40" t="s">
        <v>256</v>
      </c>
      <c r="C40" t="s">
        <v>299</v>
      </c>
    </row>
    <row r="41" spans="2:3" x14ac:dyDescent="0.25">
      <c r="B41" t="s">
        <v>257</v>
      </c>
      <c r="C41" t="s">
        <v>298</v>
      </c>
    </row>
    <row r="45" spans="2:3" x14ac:dyDescent="0.25">
      <c r="B45" t="s">
        <v>251</v>
      </c>
    </row>
    <row r="46" spans="2:3" x14ac:dyDescent="0.25">
      <c r="B46" s="1" t="s">
        <v>303</v>
      </c>
    </row>
    <row r="47" spans="2:3" x14ac:dyDescent="0.25">
      <c r="B47" t="s">
        <v>370</v>
      </c>
    </row>
    <row r="48" spans="2:3" x14ac:dyDescent="0.25">
      <c r="B48" t="s">
        <v>259</v>
      </c>
    </row>
    <row r="49" spans="2:2" x14ac:dyDescent="0.25">
      <c r="B49" t="s">
        <v>304</v>
      </c>
    </row>
    <row r="50" spans="2:2" x14ac:dyDescent="0.25">
      <c r="B50" t="s">
        <v>260</v>
      </c>
    </row>
    <row r="51" spans="2:2" x14ac:dyDescent="0.25">
      <c r="B51" t="s">
        <v>261</v>
      </c>
    </row>
    <row r="53" spans="2:2" x14ac:dyDescent="0.25">
      <c r="B53" s="1" t="s">
        <v>275</v>
      </c>
    </row>
    <row r="54" spans="2:2" x14ac:dyDescent="0.25">
      <c r="B54" s="1" t="s">
        <v>262</v>
      </c>
    </row>
    <row r="55" spans="2:2" x14ac:dyDescent="0.25">
      <c r="B55" t="s">
        <v>263</v>
      </c>
    </row>
    <row r="56" spans="2:2" ht="31.5" x14ac:dyDescent="0.25">
      <c r="B56" s="31" t="s">
        <v>264</v>
      </c>
    </row>
    <row r="57" spans="2:2" x14ac:dyDescent="0.25">
      <c r="B57" t="s">
        <v>305</v>
      </c>
    </row>
    <row r="58" spans="2:2" x14ac:dyDescent="0.25">
      <c r="B58" t="s">
        <v>306</v>
      </c>
    </row>
    <row r="59" spans="2:2" x14ac:dyDescent="0.25">
      <c r="B59" s="32" t="s">
        <v>265</v>
      </c>
    </row>
    <row r="60" spans="2:2" x14ac:dyDescent="0.25">
      <c r="B60" s="32"/>
    </row>
    <row r="61" spans="2:2" x14ac:dyDescent="0.25">
      <c r="B61" s="34" t="s">
        <v>307</v>
      </c>
    </row>
    <row r="62" spans="2:2" x14ac:dyDescent="0.25">
      <c r="B62" t="s">
        <v>308</v>
      </c>
    </row>
    <row r="63" spans="2:2" x14ac:dyDescent="0.25">
      <c r="B63" t="s">
        <v>309</v>
      </c>
    </row>
    <row r="64" spans="2:2" x14ac:dyDescent="0.25">
      <c r="B64" t="s">
        <v>310</v>
      </c>
    </row>
    <row r="65" spans="2:2" x14ac:dyDescent="0.25">
      <c r="B65" t="s">
        <v>311</v>
      </c>
    </row>
    <row r="66" spans="2:2" x14ac:dyDescent="0.25">
      <c r="B66" t="s">
        <v>313</v>
      </c>
    </row>
    <row r="68" spans="2:2" x14ac:dyDescent="0.25">
      <c r="B68" s="1" t="s">
        <v>314</v>
      </c>
    </row>
    <row r="69" spans="2:2" x14ac:dyDescent="0.25">
      <c r="B69" t="s">
        <v>315</v>
      </c>
    </row>
    <row r="70" spans="2:2" x14ac:dyDescent="0.25">
      <c r="B70" t="s">
        <v>316</v>
      </c>
    </row>
    <row r="72" spans="2:2" x14ac:dyDescent="0.25">
      <c r="B72" s="35" t="s">
        <v>266</v>
      </c>
    </row>
    <row r="73" spans="2:2" x14ac:dyDescent="0.25">
      <c r="B73" t="s">
        <v>317</v>
      </c>
    </row>
    <row r="74" spans="2:2" x14ac:dyDescent="0.25">
      <c r="B74" t="s">
        <v>267</v>
      </c>
    </row>
    <row r="75" spans="2:2" x14ac:dyDescent="0.25">
      <c r="B75" t="s">
        <v>268</v>
      </c>
    </row>
    <row r="76" spans="2:2" x14ac:dyDescent="0.25">
      <c r="B76" t="s">
        <v>269</v>
      </c>
    </row>
    <row r="77" spans="2:2" x14ac:dyDescent="0.25">
      <c r="B77" t="s">
        <v>270</v>
      </c>
    </row>
    <row r="78" spans="2:2" x14ac:dyDescent="0.25">
      <c r="B78" t="s">
        <v>271</v>
      </c>
    </row>
    <row r="79" spans="2:2" x14ac:dyDescent="0.25">
      <c r="B79" t="s">
        <v>272</v>
      </c>
    </row>
    <row r="81" spans="2:2" x14ac:dyDescent="0.25">
      <c r="B81" t="s">
        <v>273</v>
      </c>
    </row>
    <row r="82" spans="2:2" x14ac:dyDescent="0.25">
      <c r="B82" t="s">
        <v>274</v>
      </c>
    </row>
    <row r="83" spans="2:2" x14ac:dyDescent="0.25">
      <c r="B83" t="s">
        <v>276</v>
      </c>
    </row>
    <row r="85" spans="2:2" x14ac:dyDescent="0.25">
      <c r="B85" t="s">
        <v>277</v>
      </c>
    </row>
    <row r="86" spans="2:2" x14ac:dyDescent="0.25">
      <c r="B86" t="s">
        <v>278</v>
      </c>
    </row>
    <row r="87" spans="2:2" x14ac:dyDescent="0.25">
      <c r="B87" t="s">
        <v>279</v>
      </c>
    </row>
    <row r="89" spans="2:2" x14ac:dyDescent="0.25">
      <c r="B89" s="1" t="s">
        <v>280</v>
      </c>
    </row>
    <row r="91" spans="2:2" x14ac:dyDescent="0.25">
      <c r="B91" t="s">
        <v>281</v>
      </c>
    </row>
    <row r="92" spans="2:2" x14ac:dyDescent="0.25">
      <c r="B92" t="s">
        <v>282</v>
      </c>
    </row>
    <row r="93" spans="2:2" x14ac:dyDescent="0.25">
      <c r="B93" t="s">
        <v>283</v>
      </c>
    </row>
    <row r="95" spans="2:2" x14ac:dyDescent="0.25">
      <c r="B95" s="1" t="s">
        <v>284</v>
      </c>
    </row>
    <row r="96" spans="2:2" x14ac:dyDescent="0.25">
      <c r="B96" t="s">
        <v>285</v>
      </c>
    </row>
    <row r="97" spans="2:2" x14ac:dyDescent="0.25">
      <c r="B97" t="s">
        <v>286</v>
      </c>
    </row>
    <row r="98" spans="2:2" x14ac:dyDescent="0.25">
      <c r="B98" s="7" t="s">
        <v>287</v>
      </c>
    </row>
    <row r="99" spans="2:2" x14ac:dyDescent="0.25">
      <c r="B99" s="23" t="s">
        <v>288</v>
      </c>
    </row>
    <row r="102" spans="2:2" x14ac:dyDescent="0.25">
      <c r="B102" s="1" t="s">
        <v>289</v>
      </c>
    </row>
    <row r="103" spans="2:2" x14ac:dyDescent="0.25">
      <c r="B103" t="s">
        <v>290</v>
      </c>
    </row>
    <row r="104" spans="2:2" x14ac:dyDescent="0.25">
      <c r="B104" t="s">
        <v>291</v>
      </c>
    </row>
    <row r="105" spans="2:2" x14ac:dyDescent="0.25">
      <c r="B105" t="s">
        <v>292</v>
      </c>
    </row>
    <row r="106" spans="2:2" x14ac:dyDescent="0.25">
      <c r="B106" t="s">
        <v>293</v>
      </c>
    </row>
    <row r="107" spans="2:2" ht="31.5" x14ac:dyDescent="0.25">
      <c r="B107" s="33" t="s">
        <v>312</v>
      </c>
    </row>
    <row r="111" spans="2:2" x14ac:dyDescent="0.25">
      <c r="B111" s="1" t="s">
        <v>405</v>
      </c>
    </row>
    <row r="112" spans="2:2" x14ac:dyDescent="0.25">
      <c r="B112" t="s">
        <v>319</v>
      </c>
    </row>
    <row r="113" spans="2:2" x14ac:dyDescent="0.25">
      <c r="B113" s="23" t="s">
        <v>371</v>
      </c>
    </row>
    <row r="114" spans="2:2" x14ac:dyDescent="0.25">
      <c r="B114" t="s">
        <v>321</v>
      </c>
    </row>
    <row r="115" spans="2:2" x14ac:dyDescent="0.25">
      <c r="B115" t="s">
        <v>322</v>
      </c>
    </row>
    <row r="117" spans="2:2" x14ac:dyDescent="0.25">
      <c r="B117" t="s">
        <v>431</v>
      </c>
    </row>
    <row r="118" spans="2:2" x14ac:dyDescent="0.25">
      <c r="B118" s="7" t="s">
        <v>432</v>
      </c>
    </row>
    <row r="120" spans="2:2" x14ac:dyDescent="0.25">
      <c r="B120" t="s">
        <v>433</v>
      </c>
    </row>
    <row r="121" spans="2:2" x14ac:dyDescent="0.25">
      <c r="B121" s="7" t="s">
        <v>434</v>
      </c>
    </row>
    <row r="123" spans="2:2" x14ac:dyDescent="0.25">
      <c r="B123" t="s">
        <v>435</v>
      </c>
    </row>
    <row r="124" spans="2:2" x14ac:dyDescent="0.25">
      <c r="B124" s="7" t="s">
        <v>436</v>
      </c>
    </row>
    <row r="125" spans="2:2" x14ac:dyDescent="0.25">
      <c r="B125" s="7" t="s">
        <v>437</v>
      </c>
    </row>
    <row r="127" spans="2:2" x14ac:dyDescent="0.25">
      <c r="B127" t="s">
        <v>438</v>
      </c>
    </row>
    <row r="128" spans="2:2" x14ac:dyDescent="0.25">
      <c r="B128" s="23" t="s">
        <v>439</v>
      </c>
    </row>
    <row r="129" spans="2:3" x14ac:dyDescent="0.25">
      <c r="B129" s="15"/>
    </row>
    <row r="130" spans="2:3" x14ac:dyDescent="0.25">
      <c r="B130" s="15" t="s">
        <v>318</v>
      </c>
    </row>
    <row r="131" spans="2:3" x14ac:dyDescent="0.25">
      <c r="B131" t="s">
        <v>323</v>
      </c>
    </row>
    <row r="133" spans="2:3" x14ac:dyDescent="0.25">
      <c r="B133" s="1" t="s">
        <v>324</v>
      </c>
    </row>
    <row r="134" spans="2:3" x14ac:dyDescent="0.25">
      <c r="B134" s="35" t="s">
        <v>335</v>
      </c>
    </row>
    <row r="135" spans="2:3" x14ac:dyDescent="0.25">
      <c r="B135" t="s">
        <v>325</v>
      </c>
      <c r="C135" t="s">
        <v>329</v>
      </c>
    </row>
    <row r="136" spans="2:3" x14ac:dyDescent="0.25">
      <c r="B136" t="s">
        <v>326</v>
      </c>
    </row>
    <row r="137" spans="2:3" x14ac:dyDescent="0.25">
      <c r="B137" t="s">
        <v>327</v>
      </c>
    </row>
    <row r="138" spans="2:3" x14ac:dyDescent="0.25">
      <c r="B138" t="s">
        <v>328</v>
      </c>
      <c r="C138" t="s">
        <v>330</v>
      </c>
    </row>
    <row r="140" spans="2:3" x14ac:dyDescent="0.25">
      <c r="B140" s="15" t="s">
        <v>331</v>
      </c>
    </row>
    <row r="141" spans="2:3" x14ac:dyDescent="0.25">
      <c r="B141" t="s">
        <v>332</v>
      </c>
    </row>
    <row r="143" spans="2:3" x14ac:dyDescent="0.25">
      <c r="B143" s="35" t="s">
        <v>334</v>
      </c>
    </row>
    <row r="144" spans="2:3" x14ac:dyDescent="0.25">
      <c r="B144" t="s">
        <v>333</v>
      </c>
    </row>
    <row r="146" spans="2:2" x14ac:dyDescent="0.25">
      <c r="B146" s="1" t="s">
        <v>406</v>
      </c>
    </row>
    <row r="147" spans="2:2" ht="31.5" x14ac:dyDescent="0.25">
      <c r="B147" s="70" t="s">
        <v>407</v>
      </c>
    </row>
    <row r="149" spans="2:2" x14ac:dyDescent="0.25">
      <c r="B149" t="s">
        <v>367</v>
      </c>
    </row>
    <row r="150" spans="2:2" x14ac:dyDescent="0.25">
      <c r="B150" t="s">
        <v>373</v>
      </c>
    </row>
    <row r="151" spans="2:2" x14ac:dyDescent="0.25">
      <c r="B151" t="s">
        <v>368</v>
      </c>
    </row>
    <row r="152" spans="2:2" ht="31.5" x14ac:dyDescent="0.25">
      <c r="B152" s="52" t="s">
        <v>369</v>
      </c>
    </row>
    <row r="153" spans="2:2" x14ac:dyDescent="0.25">
      <c r="B153" s="52"/>
    </row>
    <row r="154" spans="2:2" x14ac:dyDescent="0.25">
      <c r="B154" s="33" t="s">
        <v>440</v>
      </c>
    </row>
    <row r="155" spans="2:2" x14ac:dyDescent="0.25">
      <c r="B155" s="74" t="s">
        <v>441</v>
      </c>
    </row>
    <row r="156" spans="2:2" x14ac:dyDescent="0.25">
      <c r="B156" s="52" t="s">
        <v>442</v>
      </c>
    </row>
    <row r="157" spans="2:2" x14ac:dyDescent="0.25">
      <c r="B157" s="52"/>
    </row>
    <row r="158" spans="2:2" x14ac:dyDescent="0.25">
      <c r="B158" s="52"/>
    </row>
    <row r="159" spans="2:2" x14ac:dyDescent="0.25">
      <c r="B159" s="52"/>
    </row>
    <row r="160" spans="2:2" x14ac:dyDescent="0.25">
      <c r="B160" s="52"/>
    </row>
    <row r="161" spans="2:2" x14ac:dyDescent="0.25">
      <c r="B161" s="52"/>
    </row>
    <row r="162" spans="2:2" x14ac:dyDescent="0.25">
      <c r="B162" s="52"/>
    </row>
    <row r="163" spans="2:2" x14ac:dyDescent="0.25">
      <c r="B163" s="52"/>
    </row>
    <row r="164" spans="2:2" x14ac:dyDescent="0.25">
      <c r="B164" s="52"/>
    </row>
    <row r="165" spans="2:2" x14ac:dyDescent="0.25">
      <c r="B165" s="52"/>
    </row>
    <row r="166" spans="2:2" x14ac:dyDescent="0.25">
      <c r="B166" s="52"/>
    </row>
    <row r="167" spans="2:2" x14ac:dyDescent="0.25">
      <c r="B167" s="52"/>
    </row>
    <row r="168" spans="2:2" x14ac:dyDescent="0.25">
      <c r="B168" s="52"/>
    </row>
    <row r="169" spans="2:2" x14ac:dyDescent="0.25">
      <c r="B169" s="52"/>
    </row>
    <row r="171" spans="2:2" ht="18.75" x14ac:dyDescent="0.3">
      <c r="B171" s="71" t="s">
        <v>374</v>
      </c>
    </row>
    <row r="172" spans="2:2" x14ac:dyDescent="0.25">
      <c r="B172" s="35" t="s">
        <v>253</v>
      </c>
    </row>
    <row r="173" spans="2:2" x14ac:dyDescent="0.25">
      <c r="B173" t="s">
        <v>408</v>
      </c>
    </row>
    <row r="174" spans="2:2" x14ac:dyDescent="0.25">
      <c r="B174" t="s">
        <v>409</v>
      </c>
    </row>
    <row r="175" spans="2:2" x14ac:dyDescent="0.25">
      <c r="B175" t="s">
        <v>410</v>
      </c>
    </row>
    <row r="176" spans="2:2" x14ac:dyDescent="0.25">
      <c r="B176" t="s">
        <v>411</v>
      </c>
    </row>
    <row r="177" spans="2:2" x14ac:dyDescent="0.25">
      <c r="B177" t="s">
        <v>412</v>
      </c>
    </row>
    <row r="178" spans="2:2" x14ac:dyDescent="0.25">
      <c r="B178" t="s">
        <v>414</v>
      </c>
    </row>
    <row r="179" spans="2:2" x14ac:dyDescent="0.25">
      <c r="B179" s="72" t="s">
        <v>413</v>
      </c>
    </row>
    <row r="180" spans="2:2" x14ac:dyDescent="0.25">
      <c r="B180" t="s">
        <v>415</v>
      </c>
    </row>
    <row r="181" spans="2:2" x14ac:dyDescent="0.25">
      <c r="B181" s="73" t="s">
        <v>416</v>
      </c>
    </row>
    <row r="183" spans="2:2" x14ac:dyDescent="0.25">
      <c r="B183" s="1" t="s">
        <v>417</v>
      </c>
    </row>
    <row r="184" spans="2:2" x14ac:dyDescent="0.25">
      <c r="B184" s="35" t="s">
        <v>253</v>
      </c>
    </row>
    <row r="185" spans="2:2" x14ac:dyDescent="0.25">
      <c r="B185" t="s">
        <v>418</v>
      </c>
    </row>
    <row r="186" spans="2:2" x14ac:dyDescent="0.25">
      <c r="B186" t="s">
        <v>419</v>
      </c>
    </row>
    <row r="187" spans="2:2" x14ac:dyDescent="0.25">
      <c r="B187" t="s">
        <v>420</v>
      </c>
    </row>
    <row r="188" spans="2:2" x14ac:dyDescent="0.25">
      <c r="B188" t="s">
        <v>421</v>
      </c>
    </row>
    <row r="189" spans="2:2" x14ac:dyDescent="0.25">
      <c r="B189" t="s">
        <v>422</v>
      </c>
    </row>
    <row r="190" spans="2:2" x14ac:dyDescent="0.25">
      <c r="B190" t="s">
        <v>423</v>
      </c>
    </row>
    <row r="191" spans="2:2" x14ac:dyDescent="0.25">
      <c r="B191" t="s">
        <v>424</v>
      </c>
    </row>
    <row r="192" spans="2:2" x14ac:dyDescent="0.25">
      <c r="B192" t="s">
        <v>425</v>
      </c>
    </row>
    <row r="194" spans="2:2" x14ac:dyDescent="0.25">
      <c r="B194" s="35" t="s">
        <v>426</v>
      </c>
    </row>
    <row r="195" spans="2:2" x14ac:dyDescent="0.25">
      <c r="B195" t="s">
        <v>427</v>
      </c>
    </row>
    <row r="196" spans="2:2" x14ac:dyDescent="0.25">
      <c r="B196" t="s">
        <v>428</v>
      </c>
    </row>
    <row r="197" spans="2:2" x14ac:dyDescent="0.25">
      <c r="B197" t="s">
        <v>429</v>
      </c>
    </row>
    <row r="198" spans="2:2" x14ac:dyDescent="0.25">
      <c r="B198" t="s">
        <v>430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7345E-AC46-4982-9E01-99A5D51DC873}">
  <dimension ref="A2:D60"/>
  <sheetViews>
    <sheetView zoomScaleNormal="100" workbookViewId="0">
      <selection activeCell="A23" sqref="A23"/>
    </sheetView>
  </sheetViews>
  <sheetFormatPr defaultColWidth="8.875" defaultRowHeight="15.75" x14ac:dyDescent="0.25"/>
  <cols>
    <col min="1" max="1" width="64.375" bestFit="1" customWidth="1"/>
    <col min="2" max="2" width="73.375" bestFit="1" customWidth="1"/>
    <col min="3" max="4" width="11.125" bestFit="1" customWidth="1"/>
  </cols>
  <sheetData>
    <row r="2" spans="1:4" x14ac:dyDescent="0.25">
      <c r="A2" t="s">
        <v>51</v>
      </c>
      <c r="B2">
        <v>2024</v>
      </c>
      <c r="C2">
        <v>2023</v>
      </c>
      <c r="D2">
        <v>2022</v>
      </c>
    </row>
    <row r="3" spans="1:4" x14ac:dyDescent="0.25">
      <c r="A3" t="s">
        <v>52</v>
      </c>
      <c r="B3" t="s">
        <v>75</v>
      </c>
      <c r="C3" t="s">
        <v>76</v>
      </c>
      <c r="D3" t="s">
        <v>77</v>
      </c>
    </row>
    <row r="4" spans="1:4" x14ac:dyDescent="0.25">
      <c r="A4" t="s">
        <v>78</v>
      </c>
    </row>
    <row r="5" spans="1:4" x14ac:dyDescent="0.25">
      <c r="A5" t="s">
        <v>53</v>
      </c>
      <c r="B5" t="s">
        <v>79</v>
      </c>
      <c r="C5" t="s">
        <v>80</v>
      </c>
      <c r="D5" t="s">
        <v>81</v>
      </c>
    </row>
    <row r="6" spans="1:4" x14ac:dyDescent="0.25">
      <c r="A6" t="s">
        <v>41</v>
      </c>
      <c r="B6" t="s">
        <v>82</v>
      </c>
      <c r="C6" t="s">
        <v>83</v>
      </c>
      <c r="D6" t="s">
        <v>84</v>
      </c>
    </row>
    <row r="7" spans="1:4" x14ac:dyDescent="0.25">
      <c r="A7" t="s">
        <v>42</v>
      </c>
      <c r="B7" t="s">
        <v>85</v>
      </c>
      <c r="C7" t="s">
        <v>86</v>
      </c>
      <c r="D7" t="s">
        <v>87</v>
      </c>
    </row>
    <row r="8" spans="1:4" x14ac:dyDescent="0.25">
      <c r="A8" t="s">
        <v>50</v>
      </c>
      <c r="B8" t="s">
        <v>88</v>
      </c>
      <c r="C8" t="s">
        <v>89</v>
      </c>
      <c r="D8" t="s">
        <v>90</v>
      </c>
    </row>
    <row r="9" spans="1:4" x14ac:dyDescent="0.25">
      <c r="A9" t="s">
        <v>54</v>
      </c>
      <c r="B9" t="s">
        <v>91</v>
      </c>
      <c r="C9" t="s">
        <v>92</v>
      </c>
      <c r="D9" t="s">
        <v>93</v>
      </c>
    </row>
    <row r="10" spans="1:4" x14ac:dyDescent="0.25">
      <c r="A10" t="s">
        <v>55</v>
      </c>
      <c r="B10" t="s">
        <v>94</v>
      </c>
      <c r="C10" t="s">
        <v>95</v>
      </c>
      <c r="D10" t="s">
        <v>73</v>
      </c>
    </row>
    <row r="11" spans="1:4" x14ac:dyDescent="0.25">
      <c r="A11" t="s">
        <v>47</v>
      </c>
      <c r="B11" t="s">
        <v>96</v>
      </c>
      <c r="C11" t="s">
        <v>97</v>
      </c>
      <c r="D11" t="s">
        <v>98</v>
      </c>
    </row>
    <row r="12" spans="1:4" x14ac:dyDescent="0.25">
      <c r="A12" t="s">
        <v>48</v>
      </c>
      <c r="B12" t="s">
        <v>73</v>
      </c>
      <c r="C12" t="s">
        <v>73</v>
      </c>
      <c r="D12" t="s">
        <v>99</v>
      </c>
    </row>
    <row r="13" spans="1:4" x14ac:dyDescent="0.25">
      <c r="A13" t="s">
        <v>49</v>
      </c>
      <c r="B13" t="s">
        <v>100</v>
      </c>
      <c r="C13" t="s">
        <v>101</v>
      </c>
      <c r="D13" t="s">
        <v>102</v>
      </c>
    </row>
    <row r="14" spans="1:4" x14ac:dyDescent="0.25">
      <c r="A14" t="s">
        <v>56</v>
      </c>
      <c r="B14" t="s">
        <v>103</v>
      </c>
      <c r="C14" t="s">
        <v>104</v>
      </c>
      <c r="D14" t="s">
        <v>73</v>
      </c>
    </row>
    <row r="15" spans="1:4" x14ac:dyDescent="0.25">
      <c r="A15" t="s">
        <v>105</v>
      </c>
    </row>
    <row r="16" spans="1:4" x14ac:dyDescent="0.25">
      <c r="A16" t="s">
        <v>106</v>
      </c>
      <c r="B16" t="s">
        <v>107</v>
      </c>
      <c r="C16" t="s">
        <v>108</v>
      </c>
      <c r="D16" t="s">
        <v>109</v>
      </c>
    </row>
    <row r="17" spans="1:4" x14ac:dyDescent="0.25">
      <c r="A17" t="s">
        <v>57</v>
      </c>
      <c r="B17" t="s">
        <v>110</v>
      </c>
      <c r="C17" t="s">
        <v>111</v>
      </c>
      <c r="D17" t="s">
        <v>112</v>
      </c>
    </row>
    <row r="18" spans="1:4" x14ac:dyDescent="0.25">
      <c r="A18" t="s">
        <v>58</v>
      </c>
      <c r="B18" t="s">
        <v>113</v>
      </c>
      <c r="C18" t="s">
        <v>114</v>
      </c>
      <c r="D18" t="s">
        <v>115</v>
      </c>
    </row>
    <row r="19" spans="1:4" x14ac:dyDescent="0.25">
      <c r="A19" t="s">
        <v>59</v>
      </c>
      <c r="B19" t="s">
        <v>116</v>
      </c>
      <c r="C19" t="s">
        <v>117</v>
      </c>
      <c r="D19" t="s">
        <v>118</v>
      </c>
    </row>
    <row r="20" spans="1:4" x14ac:dyDescent="0.25">
      <c r="A20" t="s">
        <v>60</v>
      </c>
      <c r="B20" t="s">
        <v>119</v>
      </c>
      <c r="C20" t="s">
        <v>120</v>
      </c>
      <c r="D20" t="s">
        <v>121</v>
      </c>
    </row>
    <row r="21" spans="1:4" x14ac:dyDescent="0.25">
      <c r="A21" t="s">
        <v>61</v>
      </c>
      <c r="B21" t="s">
        <v>122</v>
      </c>
      <c r="C21" t="s">
        <v>123</v>
      </c>
      <c r="D21" t="s">
        <v>124</v>
      </c>
    </row>
    <row r="22" spans="1:4" x14ac:dyDescent="0.25">
      <c r="A22" t="s">
        <v>62</v>
      </c>
      <c r="B22" t="s">
        <v>125</v>
      </c>
      <c r="C22" t="s">
        <v>126</v>
      </c>
      <c r="D22" t="s">
        <v>127</v>
      </c>
    </row>
    <row r="23" spans="1:4" x14ac:dyDescent="0.25">
      <c r="A23" t="s">
        <v>128</v>
      </c>
    </row>
    <row r="24" spans="1:4" x14ac:dyDescent="0.25">
      <c r="A24" t="s">
        <v>63</v>
      </c>
      <c r="B24" t="s">
        <v>129</v>
      </c>
      <c r="C24" t="s">
        <v>130</v>
      </c>
      <c r="D24" t="s">
        <v>131</v>
      </c>
    </row>
    <row r="25" spans="1:4" x14ac:dyDescent="0.25">
      <c r="A25" t="s">
        <v>64</v>
      </c>
      <c r="B25" t="s">
        <v>132</v>
      </c>
      <c r="C25" t="s">
        <v>133</v>
      </c>
      <c r="D25" t="s">
        <v>134</v>
      </c>
    </row>
    <row r="26" spans="1:4" x14ac:dyDescent="0.25">
      <c r="A26" t="s">
        <v>65</v>
      </c>
      <c r="B26" t="s">
        <v>135</v>
      </c>
      <c r="C26" t="s">
        <v>136</v>
      </c>
      <c r="D26" t="s">
        <v>137</v>
      </c>
    </row>
    <row r="27" spans="1:4" x14ac:dyDescent="0.25">
      <c r="A27" t="s">
        <v>66</v>
      </c>
      <c r="B27" t="s">
        <v>73</v>
      </c>
      <c r="C27" t="s">
        <v>73</v>
      </c>
      <c r="D27" t="s">
        <v>138</v>
      </c>
    </row>
    <row r="28" spans="1:4" x14ac:dyDescent="0.25">
      <c r="A28" t="s">
        <v>67</v>
      </c>
      <c r="B28" t="s">
        <v>73</v>
      </c>
      <c r="C28" t="s">
        <v>73</v>
      </c>
      <c r="D28" t="s">
        <v>139</v>
      </c>
    </row>
    <row r="29" spans="1:4" x14ac:dyDescent="0.25">
      <c r="A29" t="s">
        <v>68</v>
      </c>
      <c r="B29" t="s">
        <v>140</v>
      </c>
      <c r="C29" t="s">
        <v>141</v>
      </c>
      <c r="D29" t="s">
        <v>142</v>
      </c>
    </row>
    <row r="30" spans="1:4" x14ac:dyDescent="0.25">
      <c r="A30" t="s">
        <v>69</v>
      </c>
      <c r="B30" t="s">
        <v>143</v>
      </c>
      <c r="C30" t="s">
        <v>144</v>
      </c>
      <c r="D30" t="s">
        <v>145</v>
      </c>
    </row>
    <row r="31" spans="1:4" x14ac:dyDescent="0.25">
      <c r="A31" t="s">
        <v>70</v>
      </c>
      <c r="B31" t="s">
        <v>146</v>
      </c>
      <c r="C31" t="s">
        <v>147</v>
      </c>
      <c r="D31" t="s">
        <v>148</v>
      </c>
    </row>
    <row r="32" spans="1:4" x14ac:dyDescent="0.25">
      <c r="A32" t="s">
        <v>71</v>
      </c>
      <c r="B32" t="s">
        <v>149</v>
      </c>
      <c r="C32" t="s">
        <v>150</v>
      </c>
      <c r="D32" t="s">
        <v>151</v>
      </c>
    </row>
    <row r="33" spans="1:4" x14ac:dyDescent="0.25">
      <c r="A33" t="s">
        <v>72</v>
      </c>
      <c r="B33" t="s">
        <v>73</v>
      </c>
      <c r="C33" t="s">
        <v>73</v>
      </c>
      <c r="D33" t="s">
        <v>152</v>
      </c>
    </row>
    <row r="34" spans="1:4" x14ac:dyDescent="0.25">
      <c r="A34" t="s">
        <v>153</v>
      </c>
      <c r="B34" t="s">
        <v>154</v>
      </c>
      <c r="C34" t="s">
        <v>155</v>
      </c>
      <c r="D34" t="s">
        <v>156</v>
      </c>
    </row>
    <row r="36" spans="1:4" x14ac:dyDescent="0.25">
      <c r="A36" t="s">
        <v>157</v>
      </c>
    </row>
    <row r="37" spans="1:4" x14ac:dyDescent="0.25">
      <c r="A37" t="s">
        <v>158</v>
      </c>
      <c r="B37" t="s">
        <v>73</v>
      </c>
      <c r="C37" t="s">
        <v>73</v>
      </c>
      <c r="D37" t="s">
        <v>159</v>
      </c>
    </row>
    <row r="38" spans="1:4" x14ac:dyDescent="0.25">
      <c r="A38" t="s">
        <v>160</v>
      </c>
      <c r="B38" t="s">
        <v>73</v>
      </c>
      <c r="C38" t="s">
        <v>73</v>
      </c>
      <c r="D38" t="s">
        <v>161</v>
      </c>
    </row>
    <row r="39" spans="1:4" x14ac:dyDescent="0.25">
      <c r="A39" t="s">
        <v>162</v>
      </c>
      <c r="B39" t="s">
        <v>164</v>
      </c>
      <c r="C39" t="s">
        <v>163</v>
      </c>
      <c r="D39" t="s">
        <v>73</v>
      </c>
    </row>
    <row r="40" spans="1:4" x14ac:dyDescent="0.25">
      <c r="A40" t="s">
        <v>165</v>
      </c>
      <c r="B40" t="s">
        <v>167</v>
      </c>
      <c r="C40" t="s">
        <v>166</v>
      </c>
      <c r="D40" t="s">
        <v>73</v>
      </c>
    </row>
    <row r="41" spans="1:4" x14ac:dyDescent="0.25">
      <c r="A41" t="s">
        <v>168</v>
      </c>
      <c r="B41" t="s">
        <v>171</v>
      </c>
      <c r="C41" t="s">
        <v>170</v>
      </c>
      <c r="D41" t="s">
        <v>169</v>
      </c>
    </row>
    <row r="42" spans="1:4" x14ac:dyDescent="0.25">
      <c r="A42" t="s">
        <v>172</v>
      </c>
      <c r="B42" t="s">
        <v>175</v>
      </c>
      <c r="C42" t="s">
        <v>174</v>
      </c>
      <c r="D42" t="s">
        <v>173</v>
      </c>
    </row>
    <row r="43" spans="1:4" x14ac:dyDescent="0.25">
      <c r="A43" t="s">
        <v>176</v>
      </c>
      <c r="B43" t="s">
        <v>179</v>
      </c>
      <c r="C43" t="s">
        <v>178</v>
      </c>
      <c r="D43" t="s">
        <v>177</v>
      </c>
    </row>
    <row r="44" spans="1:4" x14ac:dyDescent="0.25">
      <c r="A44" t="s">
        <v>180</v>
      </c>
      <c r="B44" t="s">
        <v>181</v>
      </c>
      <c r="C44" t="s">
        <v>73</v>
      </c>
      <c r="D44" t="s">
        <v>73</v>
      </c>
    </row>
    <row r="45" spans="1:4" x14ac:dyDescent="0.25">
      <c r="A45" t="s">
        <v>182</v>
      </c>
      <c r="B45" t="s">
        <v>185</v>
      </c>
      <c r="C45" t="s">
        <v>184</v>
      </c>
      <c r="D45" t="s">
        <v>183</v>
      </c>
    </row>
    <row r="46" spans="1:4" x14ac:dyDescent="0.25">
      <c r="A46" t="s">
        <v>186</v>
      </c>
      <c r="B46" t="s">
        <v>73</v>
      </c>
      <c r="C46" t="s">
        <v>188</v>
      </c>
      <c r="D46" t="s">
        <v>187</v>
      </c>
    </row>
    <row r="47" spans="1:4" x14ac:dyDescent="0.25">
      <c r="A47" t="s">
        <v>189</v>
      </c>
      <c r="B47" t="s">
        <v>192</v>
      </c>
      <c r="C47" t="s">
        <v>191</v>
      </c>
      <c r="D47" t="s">
        <v>190</v>
      </c>
    </row>
    <row r="48" spans="1:4" x14ac:dyDescent="0.25">
      <c r="A48" t="s">
        <v>193</v>
      </c>
      <c r="B48" t="s">
        <v>196</v>
      </c>
      <c r="C48" t="s">
        <v>195</v>
      </c>
      <c r="D48" t="s">
        <v>194</v>
      </c>
    </row>
    <row r="49" spans="1:4" x14ac:dyDescent="0.25">
      <c r="A49" t="s">
        <v>197</v>
      </c>
      <c r="B49" t="s">
        <v>200</v>
      </c>
      <c r="C49" t="s">
        <v>199</v>
      </c>
      <c r="D49" t="s">
        <v>198</v>
      </c>
    </row>
    <row r="50" spans="1:4" x14ac:dyDescent="0.25">
      <c r="A50" t="s">
        <v>201</v>
      </c>
      <c r="B50" t="s">
        <v>204</v>
      </c>
      <c r="C50" t="s">
        <v>203</v>
      </c>
      <c r="D50" t="s">
        <v>202</v>
      </c>
    </row>
    <row r="51" spans="1:4" x14ac:dyDescent="0.25">
      <c r="A51" t="s">
        <v>205</v>
      </c>
      <c r="B51" t="s">
        <v>208</v>
      </c>
      <c r="C51" t="s">
        <v>207</v>
      </c>
      <c r="D51" t="s">
        <v>206</v>
      </c>
    </row>
    <row r="52" spans="1:4" x14ac:dyDescent="0.25">
      <c r="A52" t="s">
        <v>209</v>
      </c>
      <c r="B52" t="s">
        <v>212</v>
      </c>
      <c r="C52" t="s">
        <v>211</v>
      </c>
      <c r="D52" t="s">
        <v>210</v>
      </c>
    </row>
    <row r="53" spans="1:4" x14ac:dyDescent="0.25">
      <c r="A53" t="s">
        <v>213</v>
      </c>
      <c r="B53" t="s">
        <v>211</v>
      </c>
      <c r="C53" t="s">
        <v>210</v>
      </c>
      <c r="D53" t="s">
        <v>214</v>
      </c>
    </row>
    <row r="54" spans="1:4" x14ac:dyDescent="0.25">
      <c r="D54" t="s">
        <v>215</v>
      </c>
    </row>
    <row r="55" spans="1:4" x14ac:dyDescent="0.25">
      <c r="A55" t="s">
        <v>216</v>
      </c>
    </row>
    <row r="56" spans="1:4" x14ac:dyDescent="0.25">
      <c r="A56" t="s">
        <v>8</v>
      </c>
      <c r="B56" t="s">
        <v>219</v>
      </c>
      <c r="C56" t="s">
        <v>218</v>
      </c>
      <c r="D56" t="s">
        <v>217</v>
      </c>
    </row>
    <row r="57" spans="1:4" x14ac:dyDescent="0.25">
      <c r="A57" t="s">
        <v>220</v>
      </c>
      <c r="B57" t="s">
        <v>223</v>
      </c>
      <c r="C57" t="s">
        <v>222</v>
      </c>
      <c r="D57" t="s">
        <v>221</v>
      </c>
    </row>
    <row r="58" spans="1:4" x14ac:dyDescent="0.25">
      <c r="A58" t="s">
        <v>224</v>
      </c>
      <c r="B58" t="s">
        <v>227</v>
      </c>
      <c r="C58" t="s">
        <v>226</v>
      </c>
      <c r="D58" t="s">
        <v>225</v>
      </c>
    </row>
    <row r="59" spans="1:4" x14ac:dyDescent="0.25">
      <c r="A59" t="s">
        <v>228</v>
      </c>
      <c r="B59" t="s">
        <v>231</v>
      </c>
      <c r="C59" t="s">
        <v>230</v>
      </c>
      <c r="D59" t="s">
        <v>229</v>
      </c>
    </row>
    <row r="60" spans="1:4" x14ac:dyDescent="0.25">
      <c r="A60" t="s">
        <v>232</v>
      </c>
      <c r="B60" t="s">
        <v>211</v>
      </c>
      <c r="C60" t="s">
        <v>210</v>
      </c>
      <c r="D60" t="s">
        <v>214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4EA0045-6638-42B2-9125-D367443D68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BLOCK INC. 3-statement mod</vt:lpstr>
      <vt:lpstr>DCF Analysis</vt:lpstr>
      <vt:lpstr>Segment Revenue</vt:lpstr>
      <vt:lpstr>Business Information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 Somosa</dc:creator>
  <cp:lastModifiedBy>Johann Somosa</cp:lastModifiedBy>
  <dcterms:created xsi:type="dcterms:W3CDTF">2025-10-06T23:10:05Z</dcterms:created>
  <dcterms:modified xsi:type="dcterms:W3CDTF">2026-01-02T09:42:57Z</dcterms:modified>
</cp:coreProperties>
</file>