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ann\Downloads\"/>
    </mc:Choice>
  </mc:AlternateContent>
  <xr:revisionPtr revIDLastSave="0" documentId="8_{A03754F8-53FD-4C4B-A3E4-547BF222463A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Dashboard" sheetId="1" r:id="rId1"/>
    <sheet name="WACC Model" sheetId="2" r:id="rId2"/>
    <sheet name="Industry Multiples" sheetId="3" r:id="rId3"/>
    <sheet name="TAM &amp; CAGR" sheetId="4" r:id="rId4"/>
    <sheet name="Peer Comparison" sheetId="8" r:id="rId5"/>
  </sheets>
  <externalReferences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1" l="1"/>
  <c r="D9" i="1"/>
  <c r="Z20" i="8"/>
  <c r="E7" i="3" s="1"/>
  <c r="Y20" i="8"/>
  <c r="X20" i="8"/>
  <c r="E5" i="3" s="1"/>
  <c r="W20" i="8"/>
  <c r="V20" i="8"/>
  <c r="E6" i="3" s="1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Z19" i="8"/>
  <c r="D7" i="3" s="1"/>
  <c r="F9" i="1" s="1"/>
  <c r="Y19" i="8"/>
  <c r="X19" i="8"/>
  <c r="D5" i="3" s="1"/>
  <c r="W19" i="8"/>
  <c r="V19" i="8"/>
  <c r="D6" i="3" s="1"/>
  <c r="U19" i="8"/>
  <c r="Z18" i="8"/>
  <c r="Y18" i="8"/>
  <c r="X18" i="8"/>
  <c r="W18" i="8"/>
  <c r="V18" i="8"/>
  <c r="U18" i="8"/>
  <c r="Z17" i="8"/>
  <c r="C7" i="3" s="1"/>
  <c r="Y17" i="8"/>
  <c r="X17" i="8"/>
  <c r="C5" i="3" s="1"/>
  <c r="W17" i="8"/>
  <c r="V17" i="8"/>
  <c r="C6" i="3" s="1"/>
  <c r="U17" i="8"/>
  <c r="M15" i="4" l="1"/>
  <c r="L15" i="4"/>
  <c r="K15" i="4"/>
  <c r="J15" i="4"/>
  <c r="I15" i="4"/>
  <c r="H15" i="4"/>
  <c r="M14" i="4"/>
  <c r="L14" i="4"/>
  <c r="K14" i="4"/>
  <c r="J14" i="4"/>
  <c r="I14" i="4"/>
  <c r="H14" i="4"/>
  <c r="M13" i="4"/>
  <c r="L13" i="4"/>
  <c r="K13" i="4"/>
  <c r="J13" i="4"/>
  <c r="I13" i="4"/>
  <c r="H13" i="4"/>
  <c r="C8" i="4"/>
  <c r="G7" i="4"/>
  <c r="F7" i="4"/>
  <c r="E7" i="4"/>
  <c r="G6" i="4"/>
  <c r="F6" i="4"/>
  <c r="E6" i="4"/>
  <c r="G5" i="4"/>
  <c r="F5" i="4"/>
  <c r="F8" i="4" s="1"/>
  <c r="E5" i="4"/>
  <c r="E8" i="4" s="1"/>
  <c r="C21" i="2"/>
  <c r="C16" i="2"/>
  <c r="C10" i="2"/>
  <c r="C25" i="2" s="1"/>
  <c r="C26" i="2" l="1"/>
  <c r="C27" i="2" s="1"/>
  <c r="B9" i="1" s="1"/>
  <c r="B31" i="2" l="1"/>
</calcChain>
</file>

<file path=xl/sharedStrings.xml><?xml version="1.0" encoding="utf-8"?>
<sst xmlns="http://schemas.openxmlformats.org/spreadsheetml/2006/main" count="235" uniqueCount="174">
  <si>
    <t>FINTECH INDUSTRY OVERVIEW</t>
  </si>
  <si>
    <t>Industry Analysis Dashboard  |  Management Presentation</t>
  </si>
  <si>
    <t>Industry WACC</t>
  </si>
  <si>
    <t>EV/EBITDA Multiple</t>
  </si>
  <si>
    <t>P/E Multiple</t>
  </si>
  <si>
    <t>EV/Revenue Multiple</t>
  </si>
  <si>
    <t>Sheet</t>
  </si>
  <si>
    <t>Description</t>
  </si>
  <si>
    <t>Key Outputs</t>
  </si>
  <si>
    <t>WACC Model</t>
  </si>
  <si>
    <t>Industry Weighted Average Cost of Capital</t>
  </si>
  <si>
    <t>Cost of Equity, Cost of Debt, WACC</t>
  </si>
  <si>
    <t>Industry Multiples</t>
  </si>
  <si>
    <t>Trading &amp; Transaction Multiples</t>
  </si>
  <si>
    <t>EV/EBITDA, P/E, EV/Revenue, P/B</t>
  </si>
  <si>
    <t>TAM &amp; CAGR</t>
  </si>
  <si>
    <t>Total Addressable Market sizing</t>
  </si>
  <si>
    <t>Market Size, Growth Rates, Projections</t>
  </si>
  <si>
    <t>Peer Comparison</t>
  </si>
  <si>
    <t>Benchmarking vs. industry peers</t>
  </si>
  <si>
    <t>Revenue, Margins, Multiples</t>
  </si>
  <si>
    <t>INDUSTRY WACC MODEL</t>
  </si>
  <si>
    <t>Weighted Average Cost of Capital  |  Blue = Input  |  Black = Formula</t>
  </si>
  <si>
    <t>COST OF EQUITY  —  Capital Asset Pricing Model (CAPM)</t>
  </si>
  <si>
    <t>Parameter</t>
  </si>
  <si>
    <t>Value</t>
  </si>
  <si>
    <t>Formula / Notes</t>
  </si>
  <si>
    <t>Risk-Free Rate (Rf)</t>
  </si>
  <si>
    <t>10-Yr US Treasury yield</t>
  </si>
  <si>
    <t>Source: US Treasury, Mar 2025</t>
  </si>
  <si>
    <t>Equity Risk Premium (ERP)</t>
  </si>
  <si>
    <t>Damodaran market ERP</t>
  </si>
  <si>
    <t>Source: Damodaran, Jan 2025</t>
  </si>
  <si>
    <t>Beta (β) — Industry Levered</t>
  </si>
  <si>
    <t>FinTech sector avg. levered beta</t>
  </si>
  <si>
    <t>Source: Bloomberg consensus</t>
  </si>
  <si>
    <t>Size Premium</t>
  </si>
  <si>
    <t>Small-cap adjustment (if applicable)</t>
  </si>
  <si>
    <t>COST OF EQUITY (Ke)</t>
  </si>
  <si>
    <t>Ke = Rf + β × ERP + Size Premium</t>
  </si>
  <si>
    <t>COST OF DEBT</t>
  </si>
  <si>
    <t>Pre-Tax Cost of Debt (Rd)</t>
  </si>
  <si>
    <t>Industry avg. borrowing rate</t>
  </si>
  <si>
    <t>Marginal Tax Rate</t>
  </si>
  <si>
    <t>US Corporate Tax Rate</t>
  </si>
  <si>
    <t>AFTER-TAX COST OF DEBT (Kd)</t>
  </si>
  <si>
    <t>Kd = Pre-Tax Rd × (1 − Tax Rate)</t>
  </si>
  <si>
    <t>CAPITAL STRUCTURE</t>
  </si>
  <si>
    <t>Weight of Equity (E/V)</t>
  </si>
  <si>
    <t>Equity as % of total capital (industry avg)</t>
  </si>
  <si>
    <t>Weight of Debt (D/V)</t>
  </si>
  <si>
    <t>Kd(at) x (D/V)</t>
  </si>
  <si>
    <t>WACC CALCULATION</t>
  </si>
  <si>
    <t>Equity Component</t>
  </si>
  <si>
    <t>Ke x (E/V)</t>
  </si>
  <si>
    <t>Debt Component</t>
  </si>
  <si>
    <t>Equity Component + Debt Component</t>
  </si>
  <si>
    <t>INDUSTRY VALUATION MULTIPLES</t>
  </si>
  <si>
    <t>TRADING MULTIPLES  —  Current Market</t>
  </si>
  <si>
    <t>Multiple</t>
  </si>
  <si>
    <t>Low</t>
  </si>
  <si>
    <t>Median</t>
  </si>
  <si>
    <t>High</t>
  </si>
  <si>
    <t>Notes</t>
  </si>
  <si>
    <t>EV / EBITDA</t>
  </si>
  <si>
    <t>EV / Revenue</t>
  </si>
  <si>
    <t>Price / Earnings (P/E)</t>
  </si>
  <si>
    <t>NTM consensus; excl. unprofitable</t>
  </si>
  <si>
    <t>TRANSACTION MULTIPLES  —  M&amp;A Precedent Transactions</t>
  </si>
  <si>
    <t>EV / EBITDA (Acquisitions)</t>
  </si>
  <si>
    <t>Control premium typically 25-35% over trading</t>
  </si>
  <si>
    <t>EV / Revenue (Acquisitions)</t>
  </si>
  <si>
    <t>High for strategic / synergy-driven deals</t>
  </si>
  <si>
    <t>Price / Earnings</t>
  </si>
  <si>
    <t>Premiums on scarcity and strategic fit</t>
  </si>
  <si>
    <t>Multiple Type</t>
  </si>
  <si>
    <t>TOTAL ADDRESSABLE MARKET (TAM) &amp; CAGR</t>
  </si>
  <si>
    <t>TAM SNAPSHOT  —  Addressable Market by Segment (2024E)</t>
  </si>
  <si>
    <t>Segment</t>
  </si>
  <si>
    <t>TAM ($T)</t>
  </si>
  <si>
    <t>CAGR (%)</t>
  </si>
  <si>
    <t>2024E ($T)</t>
  </si>
  <si>
    <t>2029E ($T)</t>
  </si>
  <si>
    <t>% of Total TAM</t>
  </si>
  <si>
    <t>Global Payments</t>
  </si>
  <si>
    <t>Transaction Volume; includes B2B, B2C, P2P</t>
  </si>
  <si>
    <t>Consumer Lending</t>
  </si>
  <si>
    <t>Outstanding loans; includes mortgage, personal, auto</t>
  </si>
  <si>
    <t>Wealth Management</t>
  </si>
  <si>
    <t>AUM; includes retail, institutional, robo-advisory</t>
  </si>
  <si>
    <t>TOTAL TAM</t>
  </si>
  <si>
    <t>100%</t>
  </si>
  <si>
    <t>5-YEAR MARKET PROJECTIONS  ($T)</t>
  </si>
  <si>
    <t>2024</t>
  </si>
  <si>
    <t>2025</t>
  </si>
  <si>
    <t>2026</t>
  </si>
  <si>
    <t>2027</t>
  </si>
  <si>
    <t>2028</t>
  </si>
  <si>
    <t>2029</t>
  </si>
  <si>
    <t>PEER COMPARISON  —  FinTech Industry Benchmarking</t>
  </si>
  <si>
    <t>Company</t>
  </si>
  <si>
    <t>Ticker</t>
  </si>
  <si>
    <t>PYPL</t>
  </si>
  <si>
    <t>Block Inc.</t>
  </si>
  <si>
    <t>SOFI</t>
  </si>
  <si>
    <t>Mean</t>
  </si>
  <si>
    <t>Source: Comps Valuation Model (Jan 29, 2026)  |  13 FinTech Peers  |  All figures in $M unless noted  |  ★ = Subject Company (Fiserv)</t>
  </si>
  <si>
    <t>COMPANY INFO</t>
  </si>
  <si>
    <t>FINANCIALS ($M)</t>
  </si>
  <si>
    <t>GROWTH &amp; MARGINS</t>
  </si>
  <si>
    <t>TRADING MULTIPLES</t>
  </si>
  <si>
    <t>Sector</t>
  </si>
  <si>
    <t>Price
($)</t>
  </si>
  <si>
    <t>Mkt Cap
($M)</t>
  </si>
  <si>
    <t>EV
($M)</t>
  </si>
  <si>
    <t>Rev '22
($M)</t>
  </si>
  <si>
    <t>Rev '23
($M)</t>
  </si>
  <si>
    <t>Rev '24
($M)</t>
  </si>
  <si>
    <t>EBITDA '23
($M)</t>
  </si>
  <si>
    <t>EBITDA '24
($M)</t>
  </si>
  <si>
    <t>Net Inc '23
($M)</t>
  </si>
  <si>
    <t>Net Inc '24
($M)</t>
  </si>
  <si>
    <t>Rev Grw
'23</t>
  </si>
  <si>
    <t>Rev Grw
'24</t>
  </si>
  <si>
    <t>EBITDA
Mgn '23</t>
  </si>
  <si>
    <t>EBITDA
Mgn '24</t>
  </si>
  <si>
    <t>Net
Mgn '23</t>
  </si>
  <si>
    <t>Net
Mgn '24</t>
  </si>
  <si>
    <t>EV/Rev
'23</t>
  </si>
  <si>
    <t>EV/Rev
'24</t>
  </si>
  <si>
    <t>EV/EBITDA
'23</t>
  </si>
  <si>
    <t>EV/EBITDA
'24</t>
  </si>
  <si>
    <t>P/E
'23</t>
  </si>
  <si>
    <t>P/E
'24</t>
  </si>
  <si>
    <t>Toast</t>
  </si>
  <si>
    <t>TOST</t>
  </si>
  <si>
    <t>SaaS / Cloud-based POS &amp; Restaurant Tech</t>
  </si>
  <si>
    <t>NM</t>
  </si>
  <si>
    <t>Shopify</t>
  </si>
  <si>
    <t>SHOP</t>
  </si>
  <si>
    <t>FinTech — Payment processing, SaaS merchant platform</t>
  </si>
  <si>
    <t>Intuit</t>
  </si>
  <si>
    <t>INTU</t>
  </si>
  <si>
    <t>FinTech — QuickBooks, TurboTax, CreditKarma</t>
  </si>
  <si>
    <t>Snowflake</t>
  </si>
  <si>
    <t>SNOW</t>
  </si>
  <si>
    <t>Cloud data platform — high-growth SaaS</t>
  </si>
  <si>
    <t>PayPal</t>
  </si>
  <si>
    <t>FinTech — Digital payments, wallets, P2P (Venmo, Braintree)</t>
  </si>
  <si>
    <t>Fiserv ★</t>
  </si>
  <si>
    <t>FISV</t>
  </si>
  <si>
    <t>FinTech — Payment processing, POS systems (Subject Co.)</t>
  </si>
  <si>
    <t>SoFi</t>
  </si>
  <si>
    <t>FinTech — Digital banking, lending, investing</t>
  </si>
  <si>
    <t>Affirm</t>
  </si>
  <si>
    <t>AFRM</t>
  </si>
  <si>
    <t>FinTech — BNPL, consumer lending</t>
  </si>
  <si>
    <t>GPN</t>
  </si>
  <si>
    <t>FinTech — Payment processing, software, cloud, issuer solutions</t>
  </si>
  <si>
    <t>XYZ</t>
  </si>
  <si>
    <t>FinTech — CashApp, Square POS, Bitcoin, digital wallets</t>
  </si>
  <si>
    <t>Payoneer</t>
  </si>
  <si>
    <t>PAYO</t>
  </si>
  <si>
    <t>FinTech — Cross-border B2B payments, SMB platform</t>
  </si>
  <si>
    <t>-</t>
  </si>
  <si>
    <t>★ Subject Company (Fiserv)  |  NM = Not Meaningful (negative EBITDA / loss-making)  |  Multiples capped for display  |  Source: Comps Valuation Model, Jan 29 2026</t>
  </si>
  <si>
    <t>EV / EBITDA '24</t>
  </si>
  <si>
    <t>EV / Revenue '24</t>
  </si>
  <si>
    <t>P/B
'23</t>
  </si>
  <si>
    <t>P/B
'24</t>
  </si>
  <si>
    <t>WACC SENSITIVITY  —  Beta vs. ERP</t>
  </si>
  <si>
    <t xml:space="preserve"> INDUSTRY WACC</t>
  </si>
  <si>
    <t>Source: WACC Model</t>
  </si>
  <si>
    <t>Source: Industry Multiples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</si>
</sst>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\x"/>
    <numFmt numFmtId="166" formatCode="\$#,##0.0"/>
    <numFmt numFmtId="167" formatCode="\$#,##0"/>
    <numFmt numFmtId="168" formatCode="\$#,##0.00"/>
  </numFmts>
  <fonts count="39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i/>
      <sz val="8"/>
      <color rgb="FF555555"/>
      <name val="Arial"/>
      <charset val="1"/>
    </font>
    <font>
      <b/>
      <sz val="9"/>
      <name val="Arial"/>
      <charset val="1"/>
    </font>
    <font>
      <b/>
      <sz val="10"/>
      <color rgb="FF54C6EB"/>
      <name val="Arial"/>
      <charset val="1"/>
    </font>
    <font>
      <sz val="9"/>
      <color rgb="FF0000FF"/>
      <name val="Arial"/>
      <charset val="1"/>
    </font>
    <font>
      <i/>
      <sz val="9"/>
      <color rgb="FF888888"/>
      <name val="Arial"/>
      <charset val="1"/>
    </font>
    <font>
      <b/>
      <sz val="9"/>
      <color rgb="FF0D3B6E"/>
      <name val="Arial"/>
      <charset val="1"/>
    </font>
    <font>
      <b/>
      <sz val="9"/>
      <color rgb="FF54C6EB"/>
      <name val="Arial"/>
      <charset val="1"/>
    </font>
    <font>
      <sz val="8"/>
      <name val="Calibri"/>
      <family val="2"/>
      <charset val="1"/>
    </font>
    <font>
      <b/>
      <sz val="14"/>
      <color rgb="FFFFFFFF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rgb="FF888888"/>
      <name val="Cambria"/>
      <family val="1"/>
      <scheme val="major"/>
    </font>
    <font>
      <b/>
      <sz val="10"/>
      <color rgb="FFFFFFFF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0"/>
      <color rgb="FF1A1A2E"/>
      <name val="Cambria"/>
      <family val="1"/>
      <scheme val="major"/>
    </font>
    <font>
      <sz val="10"/>
      <color rgb="FF0000FF"/>
      <name val="Cambria"/>
      <family val="1"/>
      <scheme val="major"/>
    </font>
    <font>
      <i/>
      <sz val="9"/>
      <color rgb="FF555555"/>
      <name val="Cambria"/>
      <family val="1"/>
      <scheme val="major"/>
    </font>
    <font>
      <sz val="8"/>
      <color rgb="FF888888"/>
      <name val="Cambria"/>
      <family val="1"/>
      <scheme val="major"/>
    </font>
    <font>
      <b/>
      <sz val="11"/>
      <color theme="1"/>
      <name val="Cambria"/>
      <family val="1"/>
      <scheme val="major"/>
    </font>
    <font>
      <i/>
      <sz val="9"/>
      <color rgb="FFFFFFFF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2"/>
      <color rgb="FFFFFFFF"/>
      <name val="Cambria"/>
      <family val="1"/>
      <scheme val="major"/>
    </font>
    <font>
      <b/>
      <sz val="14"/>
      <color theme="1"/>
      <name val="Cambria"/>
      <family val="1"/>
      <scheme val="major"/>
    </font>
    <font>
      <i/>
      <sz val="9"/>
      <color rgb="FF54C6EB"/>
      <name val="Cambria"/>
      <family val="1"/>
      <scheme val="major"/>
    </font>
    <font>
      <b/>
      <sz val="9"/>
      <color rgb="FFFFFFFF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9"/>
      <color rgb="FF1F2D3D"/>
      <name val="Cambria"/>
      <family val="1"/>
      <scheme val="major"/>
    </font>
    <font>
      <b/>
      <sz val="22"/>
      <color rgb="FFFFFFFF"/>
      <name val="Cambria"/>
      <family val="1"/>
      <scheme val="major"/>
    </font>
    <font>
      <sz val="11"/>
      <color rgb="FF54C6EB"/>
      <name val="Cambria"/>
      <family val="1"/>
      <scheme val="major"/>
    </font>
    <font>
      <b/>
      <sz val="20"/>
      <color rgb="FF54C6EB"/>
      <name val="Cambria"/>
      <family val="1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1F2D3D"/>
        <bgColor rgb="FF1A1A2E"/>
      </patternFill>
    </fill>
    <fill>
      <patternFill patternType="solid">
        <fgColor rgb="FF048A81"/>
        <bgColor rgb="FF008080"/>
      </patternFill>
    </fill>
    <fill>
      <patternFill patternType="solid">
        <fgColor rgb="FF2E4057"/>
        <bgColor rgb="FF1F2D3D"/>
      </patternFill>
    </fill>
    <fill>
      <patternFill patternType="solid">
        <fgColor rgb="FFEBF4FA"/>
        <bgColor rgb="FFF5F7FA"/>
      </patternFill>
    </fill>
    <fill>
      <patternFill patternType="solid">
        <fgColor rgb="FFFFFFFF"/>
        <bgColor rgb="FFF9F9F9"/>
      </patternFill>
    </fill>
    <fill>
      <patternFill patternType="solid">
        <fgColor rgb="FFF5F7FA"/>
        <bgColor rgb="FFF9F9F9"/>
      </patternFill>
    </fill>
    <fill>
      <patternFill patternType="solid">
        <fgColor rgb="FFFFF3CD"/>
        <bgColor rgb="FFF9F9F9"/>
      </patternFill>
    </fill>
    <fill>
      <patternFill patternType="solid">
        <fgColor rgb="FF1F2D3D"/>
        <bgColor rgb="FF262626"/>
      </patternFill>
    </fill>
    <fill>
      <patternFill patternType="solid">
        <fgColor rgb="FFF5F7FA"/>
        <bgColor rgb="FFF0F7FF"/>
      </patternFill>
    </fill>
    <fill>
      <patternFill patternType="solid">
        <fgColor rgb="FF048A81"/>
        <bgColor rgb="FF156082"/>
      </patternFill>
    </fill>
    <fill>
      <patternFill patternType="solid">
        <fgColor rgb="FFEBF4FA"/>
        <bgColor rgb="FFF0F7FF"/>
      </patternFill>
    </fill>
    <fill>
      <patternFill patternType="solid">
        <fgColor rgb="FFFFFFFF"/>
        <bgColor rgb="FFF5FBFF"/>
      </patternFill>
    </fill>
    <fill>
      <patternFill patternType="solid">
        <fgColor rgb="FFD6EAF8"/>
        <bgColor rgb="FFDCEAF7"/>
      </patternFill>
    </fill>
    <fill>
      <patternFill patternType="solid">
        <fgColor rgb="FF2E4057"/>
        <bgColor rgb="FF393939"/>
      </patternFill>
    </fill>
    <fill>
      <patternFill patternType="solid">
        <fgColor rgb="FFFFF8E1"/>
        <bgColor rgb="FFFFF3F3"/>
      </patternFill>
    </fill>
    <fill>
      <patternFill patternType="solid">
        <fgColor rgb="FF00B050"/>
        <bgColor rgb="FF008080"/>
      </patternFill>
    </fill>
    <fill>
      <patternFill patternType="solid">
        <fgColor rgb="FF00B050"/>
        <bgColor rgb="FF1A1A2E"/>
      </patternFill>
    </fill>
  </fills>
  <borders count="9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C8D4DC"/>
      </left>
      <right/>
      <top style="thin">
        <color rgb="FFC8D4DC"/>
      </top>
      <bottom style="thin">
        <color rgb="FFC8D4DC"/>
      </bottom>
      <diagonal/>
    </border>
    <border>
      <left style="thin">
        <color rgb="FFC8D4DC"/>
      </left>
      <right style="thin">
        <color rgb="FFC8D4DC"/>
      </right>
      <top style="thin">
        <color rgb="FFC8D4DC"/>
      </top>
      <bottom style="thin">
        <color rgb="FFC8D4DC"/>
      </bottom>
      <diagonal/>
    </border>
    <border>
      <left/>
      <right/>
      <top style="thin">
        <color rgb="FFC8D4DC"/>
      </top>
      <bottom style="thin">
        <color rgb="FFC8D4DC"/>
      </bottom>
      <diagonal/>
    </border>
    <border>
      <left/>
      <right style="thin">
        <color rgb="FFC8D4DC"/>
      </right>
      <top style="thin">
        <color rgb="FFC8D4DC"/>
      </top>
      <bottom style="thin">
        <color rgb="FFC8D4DC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165" fontId="6" fillId="6" borderId="2" xfId="0" applyNumberFormat="1" applyFont="1" applyFill="1" applyBorder="1" applyAlignment="1">
      <alignment horizontal="right" vertical="center"/>
    </xf>
    <xf numFmtId="0" fontId="10" fillId="6" borderId="2" xfId="0" applyFont="1" applyFill="1" applyBorder="1" applyAlignment="1">
      <alignment horizontal="left" vertical="center" wrapText="1"/>
    </xf>
    <xf numFmtId="165" fontId="6" fillId="5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 wrapText="1"/>
    </xf>
    <xf numFmtId="0" fontId="11" fillId="0" borderId="0" xfId="0" applyFont="1"/>
    <xf numFmtId="166" fontId="6" fillId="6" borderId="2" xfId="0" applyNumberFormat="1" applyFont="1" applyFill="1" applyBorder="1" applyAlignment="1">
      <alignment horizontal="right" vertical="center"/>
    </xf>
    <xf numFmtId="166" fontId="8" fillId="6" borderId="2" xfId="0" applyNumberFormat="1" applyFont="1" applyFill="1" applyBorder="1" applyAlignment="1">
      <alignment horizontal="right" vertical="center"/>
    </xf>
    <xf numFmtId="166" fontId="6" fillId="5" borderId="2" xfId="0" applyNumberFormat="1" applyFont="1" applyFill="1" applyBorder="1" applyAlignment="1">
      <alignment horizontal="right" vertical="center"/>
    </xf>
    <xf numFmtId="166" fontId="8" fillId="5" borderId="2" xfId="0" applyNumberFormat="1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166" fontId="12" fillId="4" borderId="2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2" fillId="4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left" vertical="center"/>
    </xf>
    <xf numFmtId="0" fontId="9" fillId="12" borderId="4" xfId="0" applyFont="1" applyFill="1" applyBorder="1" applyAlignment="1">
      <alignment horizontal="left" vertical="center" wrapText="1"/>
    </xf>
    <xf numFmtId="168" fontId="13" fillId="12" borderId="4" xfId="0" applyNumberFormat="1" applyFont="1" applyFill="1" applyBorder="1" applyAlignment="1">
      <alignment horizontal="right" vertical="center"/>
    </xf>
    <xf numFmtId="167" fontId="13" fillId="12" borderId="4" xfId="0" applyNumberFormat="1" applyFont="1" applyFill="1" applyBorder="1" applyAlignment="1">
      <alignment horizontal="right" vertical="center"/>
    </xf>
    <xf numFmtId="164" fontId="9" fillId="12" borderId="4" xfId="0" applyNumberFormat="1" applyFont="1" applyFill="1" applyBorder="1" applyAlignment="1">
      <alignment horizontal="right" vertical="center"/>
    </xf>
    <xf numFmtId="165" fontId="9" fillId="12" borderId="4" xfId="0" applyNumberFormat="1" applyFont="1" applyFill="1" applyBorder="1" applyAlignment="1">
      <alignment horizontal="right" vertical="center"/>
    </xf>
    <xf numFmtId="0" fontId="14" fillId="12" borderId="4" xfId="0" applyFont="1" applyFill="1" applyBorder="1" applyAlignment="1">
      <alignment horizontal="right" vertical="center"/>
    </xf>
    <xf numFmtId="0" fontId="9" fillId="13" borderId="4" xfId="0" applyFont="1" applyFill="1" applyBorder="1" applyAlignment="1">
      <alignment horizontal="left" vertical="center"/>
    </xf>
    <xf numFmtId="0" fontId="9" fillId="13" borderId="4" xfId="0" applyFont="1" applyFill="1" applyBorder="1" applyAlignment="1">
      <alignment horizontal="left" vertical="center" wrapText="1"/>
    </xf>
    <xf numFmtId="168" fontId="13" fillId="13" borderId="4" xfId="0" applyNumberFormat="1" applyFont="1" applyFill="1" applyBorder="1" applyAlignment="1">
      <alignment horizontal="right" vertical="center"/>
    </xf>
    <xf numFmtId="167" fontId="13" fillId="13" borderId="4" xfId="0" applyNumberFormat="1" applyFont="1" applyFill="1" applyBorder="1" applyAlignment="1">
      <alignment horizontal="right" vertical="center"/>
    </xf>
    <xf numFmtId="164" fontId="9" fillId="13" borderId="4" xfId="0" applyNumberFormat="1" applyFont="1" applyFill="1" applyBorder="1" applyAlignment="1">
      <alignment horizontal="right" vertical="center"/>
    </xf>
    <xf numFmtId="165" fontId="9" fillId="13" borderId="4" xfId="0" applyNumberFormat="1" applyFont="1" applyFill="1" applyBorder="1" applyAlignment="1">
      <alignment horizontal="right" vertical="center"/>
    </xf>
    <xf numFmtId="0" fontId="14" fillId="13" borderId="4" xfId="0" applyFont="1" applyFill="1" applyBorder="1" applyAlignment="1">
      <alignment horizontal="right" vertical="center"/>
    </xf>
    <xf numFmtId="0" fontId="15" fillId="14" borderId="4" xfId="0" applyFont="1" applyFill="1" applyBorder="1" applyAlignment="1">
      <alignment horizontal="left" vertical="center"/>
    </xf>
    <xf numFmtId="0" fontId="15" fillId="14" borderId="4" xfId="0" applyFont="1" applyFill="1" applyBorder="1" applyAlignment="1">
      <alignment horizontal="left" vertical="center" wrapText="1"/>
    </xf>
    <xf numFmtId="168" fontId="15" fillId="14" borderId="4" xfId="0" applyNumberFormat="1" applyFont="1" applyFill="1" applyBorder="1" applyAlignment="1">
      <alignment horizontal="right" vertical="center"/>
    </xf>
    <xf numFmtId="167" fontId="15" fillId="14" borderId="4" xfId="0" applyNumberFormat="1" applyFont="1" applyFill="1" applyBorder="1" applyAlignment="1">
      <alignment horizontal="right" vertical="center"/>
    </xf>
    <xf numFmtId="164" fontId="15" fillId="14" borderId="4" xfId="0" applyNumberFormat="1" applyFont="1" applyFill="1" applyBorder="1" applyAlignment="1">
      <alignment horizontal="right" vertical="center"/>
    </xf>
    <xf numFmtId="165" fontId="15" fillId="14" borderId="4" xfId="0" applyNumberFormat="1" applyFont="1" applyFill="1" applyBorder="1" applyAlignment="1">
      <alignment horizontal="right" vertical="center"/>
    </xf>
    <xf numFmtId="0" fontId="1" fillId="15" borderId="3" xfId="0" applyFont="1" applyFill="1" applyBorder="1" applyAlignment="1">
      <alignment horizontal="left" vertical="center"/>
    </xf>
    <xf numFmtId="0" fontId="1" fillId="15" borderId="5" xfId="0" applyFont="1" applyFill="1" applyBorder="1" applyAlignment="1">
      <alignment horizontal="left" vertical="center"/>
    </xf>
    <xf numFmtId="0" fontId="1" fillId="15" borderId="6" xfId="0" applyFont="1" applyFill="1" applyBorder="1" applyAlignment="1">
      <alignment horizontal="left" vertical="center"/>
    </xf>
    <xf numFmtId="167" fontId="16" fillId="15" borderId="4" xfId="0" applyNumberFormat="1" applyFont="1" applyFill="1" applyBorder="1" applyAlignment="1">
      <alignment horizontal="right" vertical="center"/>
    </xf>
    <xf numFmtId="164" fontId="16" fillId="15" borderId="4" xfId="0" applyNumberFormat="1" applyFont="1" applyFill="1" applyBorder="1" applyAlignment="1">
      <alignment horizontal="right" vertical="center"/>
    </xf>
    <xf numFmtId="165" fontId="16" fillId="15" borderId="4" xfId="0" applyNumberFormat="1" applyFont="1" applyFill="1" applyBorder="1" applyAlignment="1">
      <alignment horizontal="right" vertical="center"/>
    </xf>
    <xf numFmtId="0" fontId="10" fillId="16" borderId="3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/>
    <xf numFmtId="0" fontId="20" fillId="7" borderId="0" xfId="0" applyFont="1" applyFill="1" applyAlignment="1">
      <alignment horizontal="center" vertical="center"/>
    </xf>
    <xf numFmtId="0" fontId="21" fillId="4" borderId="2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left" vertical="center"/>
    </xf>
    <xf numFmtId="164" fontId="24" fillId="5" borderId="2" xfId="0" applyNumberFormat="1" applyFont="1" applyFill="1" applyBorder="1" applyAlignment="1">
      <alignment horizontal="right" vertical="center"/>
    </xf>
    <xf numFmtId="0" fontId="25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left" vertical="center"/>
    </xf>
    <xf numFmtId="0" fontId="23" fillId="6" borderId="2" xfId="0" applyFont="1" applyFill="1" applyBorder="1" applyAlignment="1">
      <alignment horizontal="left" vertical="center"/>
    </xf>
    <xf numFmtId="164" fontId="24" fillId="6" borderId="2" xfId="0" applyNumberFormat="1" applyFont="1" applyFill="1" applyBorder="1" applyAlignment="1">
      <alignment horizontal="right" vertical="center"/>
    </xf>
    <xf numFmtId="0" fontId="25" fillId="6" borderId="2" xfId="0" applyFont="1" applyFill="1" applyBorder="1" applyAlignment="1">
      <alignment horizontal="left" vertical="center"/>
    </xf>
    <xf numFmtId="0" fontId="26" fillId="6" borderId="2" xfId="0" applyFont="1" applyFill="1" applyBorder="1" applyAlignment="1">
      <alignment horizontal="left" vertical="center"/>
    </xf>
    <xf numFmtId="2" fontId="24" fillId="5" borderId="2" xfId="0" applyNumberFormat="1" applyFont="1" applyFill="1" applyBorder="1" applyAlignment="1">
      <alignment horizontal="right" vertical="center"/>
    </xf>
    <xf numFmtId="0" fontId="21" fillId="17" borderId="2" xfId="0" applyFont="1" applyFill="1" applyBorder="1" applyAlignment="1">
      <alignment horizontal="left" vertical="center"/>
    </xf>
    <xf numFmtId="164" fontId="27" fillId="17" borderId="2" xfId="0" applyNumberFormat="1" applyFont="1" applyFill="1" applyBorder="1" applyAlignment="1">
      <alignment horizontal="right" vertical="center"/>
    </xf>
    <xf numFmtId="0" fontId="28" fillId="17" borderId="2" xfId="0" applyFont="1" applyFill="1" applyBorder="1" applyAlignment="1">
      <alignment horizontal="left" vertical="center"/>
    </xf>
    <xf numFmtId="164" fontId="29" fillId="6" borderId="2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64" fontId="29" fillId="0" borderId="2" xfId="0" applyNumberFormat="1" applyFont="1" applyBorder="1" applyAlignment="1">
      <alignment horizontal="right" vertical="center"/>
    </xf>
    <xf numFmtId="0" fontId="25" fillId="0" borderId="2" xfId="0" applyFont="1" applyBorder="1"/>
    <xf numFmtId="0" fontId="30" fillId="18" borderId="2" xfId="0" applyFont="1" applyFill="1" applyBorder="1" applyAlignment="1">
      <alignment horizontal="left" vertical="center"/>
    </xf>
    <xf numFmtId="164" fontId="31" fillId="18" borderId="2" xfId="0" applyNumberFormat="1" applyFont="1" applyFill="1" applyBorder="1" applyAlignment="1">
      <alignment horizontal="right" vertical="center"/>
    </xf>
    <xf numFmtId="0" fontId="32" fillId="18" borderId="2" xfId="0" applyFont="1" applyFill="1" applyBorder="1" applyAlignment="1">
      <alignment horizontal="left" vertical="center"/>
    </xf>
    <xf numFmtId="164" fontId="33" fillId="4" borderId="2" xfId="0" applyNumberFormat="1" applyFont="1" applyFill="1" applyBorder="1" applyAlignment="1">
      <alignment horizontal="center" vertical="center"/>
    </xf>
    <xf numFmtId="2" fontId="33" fillId="4" borderId="2" xfId="0" applyNumberFormat="1" applyFont="1" applyFill="1" applyBorder="1" applyAlignment="1">
      <alignment horizontal="center" vertical="center"/>
    </xf>
    <xf numFmtId="164" fontId="34" fillId="5" borderId="2" xfId="0" applyNumberFormat="1" applyFont="1" applyFill="1" applyBorder="1" applyAlignment="1">
      <alignment horizontal="center" vertical="center"/>
    </xf>
    <xf numFmtId="164" fontId="34" fillId="6" borderId="2" xfId="0" applyNumberFormat="1" applyFont="1" applyFill="1" applyBorder="1" applyAlignment="1">
      <alignment horizontal="center" vertical="center"/>
    </xf>
    <xf numFmtId="164" fontId="35" fillId="8" borderId="2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3" borderId="0" xfId="0" applyFont="1" applyFill="1"/>
    <xf numFmtId="0" fontId="33" fillId="4" borderId="0" xfId="0" applyFont="1" applyFill="1" applyAlignment="1">
      <alignment horizontal="center" vertical="center"/>
    </xf>
    <xf numFmtId="164" fontId="38" fillId="2" borderId="0" xfId="0" applyNumberFormat="1" applyFont="1" applyFill="1" applyAlignment="1">
      <alignment horizontal="center" vertical="center"/>
    </xf>
    <xf numFmtId="165" fontId="38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21" fillId="4" borderId="7" xfId="0" applyFont="1" applyFill="1" applyBorder="1" applyAlignment="1">
      <alignment horizontal="left" vertical="center"/>
    </xf>
    <xf numFmtId="0" fontId="21" fillId="4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D9D9D9"/>
      <rgbColor rgb="FF878787"/>
      <rgbColor rgb="FF9999FF"/>
      <rgbColor rgb="FFC0504D"/>
      <rgbColor rgb="FFFFF3CD"/>
      <rgbColor rgb="FFEBF4F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F9F9F9"/>
      <rgbColor rgb="FFFFFF99"/>
      <rgbColor rgb="FF99CCFF"/>
      <rgbColor rgb="FFFF99CC"/>
      <rgbColor rgb="FFCC99FF"/>
      <rgbColor rgb="FFFFCC99"/>
      <rgbColor rgb="FF3366FF"/>
      <rgbColor rgb="FF54C6EB"/>
      <rgbColor rgb="FF9BBB59"/>
      <rgbColor rgb="FFFFCC00"/>
      <rgbColor rgb="FFFF9900"/>
      <rgbColor rgb="FFFF6600"/>
      <rgbColor rgb="FF4F81BD"/>
      <rgbColor rgb="FF888888"/>
      <rgbColor rgb="FF003366"/>
      <rgbColor rgb="FF339966"/>
      <rgbColor rgb="FF003300"/>
      <rgbColor rgb="FF1A1A2E"/>
      <rgbColor rgb="FF993300"/>
      <rgbColor rgb="FF555555"/>
      <rgbColor rgb="FF2E4057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Industry Trading Multiples — Low / Median / High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'Industry Multiples'!$C$17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'Industry Multiples'!$B$18:$B$20</c:f>
              <c:strCache>
                <c:ptCount val="3"/>
                <c:pt idx="0">
                  <c:v>EV / EBITDA</c:v>
                </c:pt>
                <c:pt idx="1">
                  <c:v>EV / Revenue</c:v>
                </c:pt>
                <c:pt idx="2">
                  <c:v>Price / Earnings (P/E)</c:v>
                </c:pt>
              </c:strCache>
            </c:strRef>
          </c:cat>
          <c:val>
            <c:numRef>
              <c:f>'Industry Multiples'!$C$18:$C$20</c:f>
              <c:numCache>
                <c:formatCode>General</c:formatCode>
                <c:ptCount val="3"/>
                <c:pt idx="0">
                  <c:v>10</c:v>
                </c:pt>
                <c:pt idx="1">
                  <c:v>2.5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A-4913-A632-652FD7889BEB}"/>
            </c:ext>
          </c:extLst>
        </c:ser>
        <c:ser>
          <c:idx val="1"/>
          <c:order val="1"/>
          <c:tx>
            <c:strRef>
              <c:f>'Industry Multiples'!$D$17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'Industry Multiples'!$B$18:$B$20</c:f>
              <c:strCache>
                <c:ptCount val="3"/>
                <c:pt idx="0">
                  <c:v>EV / EBITDA</c:v>
                </c:pt>
                <c:pt idx="1">
                  <c:v>EV / Revenue</c:v>
                </c:pt>
                <c:pt idx="2">
                  <c:v>Price / Earnings (P/E)</c:v>
                </c:pt>
              </c:strCache>
            </c:strRef>
          </c:cat>
          <c:val>
            <c:numRef>
              <c:f>'Industry Multiples'!$D$18:$D$20</c:f>
              <c:numCache>
                <c:formatCode>General</c:formatCode>
                <c:ptCount val="3"/>
                <c:pt idx="0">
                  <c:v>16.5</c:v>
                </c:pt>
                <c:pt idx="1">
                  <c:v>5.8</c:v>
                </c:pt>
                <c:pt idx="2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A-4913-A632-652FD7889BEB}"/>
            </c:ext>
          </c:extLst>
        </c:ser>
        <c:ser>
          <c:idx val="2"/>
          <c:order val="2"/>
          <c:tx>
            <c:strRef>
              <c:f>'Industry Multiples'!$E$17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'Industry Multiples'!$B$18:$B$20</c:f>
              <c:strCache>
                <c:ptCount val="3"/>
                <c:pt idx="0">
                  <c:v>EV / EBITDA</c:v>
                </c:pt>
                <c:pt idx="1">
                  <c:v>EV / Revenue</c:v>
                </c:pt>
                <c:pt idx="2">
                  <c:v>Price / Earnings (P/E)</c:v>
                </c:pt>
              </c:strCache>
            </c:strRef>
          </c:cat>
          <c:val>
            <c:numRef>
              <c:f>'Industry Multiples'!$E$18:$E$20</c:f>
              <c:numCache>
                <c:formatCode>General</c:formatCode>
                <c:ptCount val="3"/>
                <c:pt idx="0">
                  <c:v>28</c:v>
                </c:pt>
                <c:pt idx="1">
                  <c:v>18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DA-4913-A632-652FD788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46379"/>
        <c:axId val="21376287"/>
      </c:barChart>
      <c:catAx>
        <c:axId val="99246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Multiple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76287"/>
        <c:crosses val="autoZero"/>
        <c:auto val="1"/>
        <c:lblAlgn val="ctr"/>
        <c:lblOffset val="100"/>
        <c:noMultiLvlLbl val="0"/>
      </c:catAx>
      <c:valAx>
        <c:axId val="21376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Multiple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46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TAM Composition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'TAM &amp; CAGR'!$C$4</c:f>
              <c:strCache>
                <c:ptCount val="1"/>
                <c:pt idx="0">
                  <c:v>TAM ($T)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490-4F27-A8D5-972B87704F5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490-4F27-A8D5-972B87704F5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490-4F27-A8D5-972B87704F59}"/>
              </c:ext>
            </c:extLst>
          </c:dPt>
          <c:dLbls>
            <c:dLbl>
              <c:idx val="0"/>
              <c:layout>
                <c:manualLayout>
                  <c:x val="-0.2128624620855559"/>
                  <c:y val="1.865190443445773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90-4F27-A8D5-972B87704F59}"/>
                </c:ext>
              </c:extLst>
            </c:dLbl>
            <c:dLbl>
              <c:idx val="1"/>
              <c:layout>
                <c:manualLayout>
                  <c:x val="6.8592615835163684E-2"/>
                  <c:y val="1.429037792333178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90-4F27-A8D5-972B87704F5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490-4F27-A8D5-972B87704F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'TAM &amp; CAGR'!$B$5:$B$7</c:f>
              <c:strCache>
                <c:ptCount val="3"/>
                <c:pt idx="0">
                  <c:v>Global Payments</c:v>
                </c:pt>
                <c:pt idx="1">
                  <c:v>Consumer Lending</c:v>
                </c:pt>
                <c:pt idx="2">
                  <c:v>Wealth Management</c:v>
                </c:pt>
              </c:strCache>
            </c:strRef>
          </c:cat>
          <c:val>
            <c:numRef>
              <c:f>'TAM &amp; CAGR'!$C$5:$C$7</c:f>
              <c:numCache>
                <c:formatCode>\$#,##0.0</c:formatCode>
                <c:ptCount val="3"/>
                <c:pt idx="0">
                  <c:v>2.8</c:v>
                </c:pt>
                <c:pt idx="1">
                  <c:v>4.2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90-4F27-A8D5-972B87704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Revenue by Peer — 2022 / 2023 / 2024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'[1]Peer Comparison'!$H$4</c:f>
              <c:strCache>
                <c:ptCount val="1"/>
                <c:pt idx="0">
                  <c:v>Rev '22
($M)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'[1]Peer Comparison'!$B$5:$B$17</c:f>
              <c:strCache>
                <c:ptCount val="13"/>
                <c:pt idx="0">
                  <c:v>Toast</c:v>
                </c:pt>
                <c:pt idx="1">
                  <c:v>Shopify</c:v>
                </c:pt>
                <c:pt idx="2">
                  <c:v>Intuit</c:v>
                </c:pt>
                <c:pt idx="3">
                  <c:v>Snowflake</c:v>
                </c:pt>
                <c:pt idx="4">
                  <c:v>PayPal</c:v>
                </c:pt>
                <c:pt idx="5">
                  <c:v>Fiserv ★</c:v>
                </c:pt>
                <c:pt idx="6">
                  <c:v>SoFi</c:v>
                </c:pt>
                <c:pt idx="7">
                  <c:v>Affirm</c:v>
                </c:pt>
                <c:pt idx="8">
                  <c:v>Global Payments</c:v>
                </c:pt>
                <c:pt idx="9">
                  <c:v>Block Inc.</c:v>
                </c:pt>
                <c:pt idx="10">
                  <c:v>Payoneer</c:v>
                </c:pt>
                <c:pt idx="11">
                  <c:v>Marqeta</c:v>
                </c:pt>
                <c:pt idx="12">
                  <c:v>Chime</c:v>
                </c:pt>
              </c:strCache>
            </c:strRef>
          </c:cat>
          <c:val>
            <c:numRef>
              <c:f>'[1]Peer Comparison'!$H$5:$H$17</c:f>
              <c:numCache>
                <c:formatCode>General</c:formatCode>
                <c:ptCount val="13"/>
                <c:pt idx="0">
                  <c:v>2731</c:v>
                </c:pt>
                <c:pt idx="1">
                  <c:v>5600</c:v>
                </c:pt>
                <c:pt idx="2">
                  <c:v>12726</c:v>
                </c:pt>
                <c:pt idx="3">
                  <c:v>1219</c:v>
                </c:pt>
                <c:pt idx="4">
                  <c:v>27518</c:v>
                </c:pt>
                <c:pt idx="5">
                  <c:v>17737</c:v>
                </c:pt>
                <c:pt idx="6">
                  <c:v>1574</c:v>
                </c:pt>
                <c:pt idx="7">
                  <c:v>1349</c:v>
                </c:pt>
                <c:pt idx="8">
                  <c:v>8976</c:v>
                </c:pt>
                <c:pt idx="9">
                  <c:v>17532</c:v>
                </c:pt>
                <c:pt idx="10">
                  <c:v>628</c:v>
                </c:pt>
                <c:pt idx="11">
                  <c:v>748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9-4EB0-9003-5011C70E5459}"/>
            </c:ext>
          </c:extLst>
        </c:ser>
        <c:ser>
          <c:idx val="1"/>
          <c:order val="1"/>
          <c:tx>
            <c:strRef>
              <c:f>'[1]Peer Comparison'!$I$4</c:f>
              <c:strCache>
                <c:ptCount val="1"/>
                <c:pt idx="0">
                  <c:v>Rev '23
($M)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'[1]Peer Comparison'!$B$5:$B$17</c:f>
              <c:strCache>
                <c:ptCount val="13"/>
                <c:pt idx="0">
                  <c:v>Toast</c:v>
                </c:pt>
                <c:pt idx="1">
                  <c:v>Shopify</c:v>
                </c:pt>
                <c:pt idx="2">
                  <c:v>Intuit</c:v>
                </c:pt>
                <c:pt idx="3">
                  <c:v>Snowflake</c:v>
                </c:pt>
                <c:pt idx="4">
                  <c:v>PayPal</c:v>
                </c:pt>
                <c:pt idx="5">
                  <c:v>Fiserv ★</c:v>
                </c:pt>
                <c:pt idx="6">
                  <c:v>SoFi</c:v>
                </c:pt>
                <c:pt idx="7">
                  <c:v>Affirm</c:v>
                </c:pt>
                <c:pt idx="8">
                  <c:v>Global Payments</c:v>
                </c:pt>
                <c:pt idx="9">
                  <c:v>Block Inc.</c:v>
                </c:pt>
                <c:pt idx="10">
                  <c:v>Payoneer</c:v>
                </c:pt>
                <c:pt idx="11">
                  <c:v>Marqeta</c:v>
                </c:pt>
                <c:pt idx="12">
                  <c:v>Chime</c:v>
                </c:pt>
              </c:strCache>
            </c:strRef>
          </c:cat>
          <c:val>
            <c:numRef>
              <c:f>'[1]Peer Comparison'!$I$5:$I$17</c:f>
              <c:numCache>
                <c:formatCode>General</c:formatCode>
                <c:ptCount val="13"/>
                <c:pt idx="0">
                  <c:v>3865</c:v>
                </c:pt>
                <c:pt idx="1">
                  <c:v>7060</c:v>
                </c:pt>
                <c:pt idx="2">
                  <c:v>14368</c:v>
                </c:pt>
                <c:pt idx="3">
                  <c:v>2066</c:v>
                </c:pt>
                <c:pt idx="4">
                  <c:v>29771</c:v>
                </c:pt>
                <c:pt idx="5">
                  <c:v>19093</c:v>
                </c:pt>
                <c:pt idx="6">
                  <c:v>2124</c:v>
                </c:pt>
                <c:pt idx="7">
                  <c:v>1587</c:v>
                </c:pt>
                <c:pt idx="8">
                  <c:v>9654</c:v>
                </c:pt>
                <c:pt idx="9">
                  <c:v>21916</c:v>
                </c:pt>
                <c:pt idx="10">
                  <c:v>831</c:v>
                </c:pt>
                <c:pt idx="11">
                  <c:v>676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9-4EB0-9003-5011C70E5459}"/>
            </c:ext>
          </c:extLst>
        </c:ser>
        <c:ser>
          <c:idx val="2"/>
          <c:order val="2"/>
          <c:tx>
            <c:strRef>
              <c:f>'[1]Peer Comparison'!$J$4</c:f>
              <c:strCache>
                <c:ptCount val="1"/>
                <c:pt idx="0">
                  <c:v>Rev '24
($M)</c:v>
                </c:pt>
              </c:strCache>
            </c:strRef>
          </c:tx>
          <c:spPr>
            <a:solidFill>
              <a:srgbClr val="196B2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'[1]Peer Comparison'!$B$5:$B$17</c:f>
              <c:strCache>
                <c:ptCount val="13"/>
                <c:pt idx="0">
                  <c:v>Toast</c:v>
                </c:pt>
                <c:pt idx="1">
                  <c:v>Shopify</c:v>
                </c:pt>
                <c:pt idx="2">
                  <c:v>Intuit</c:v>
                </c:pt>
                <c:pt idx="3">
                  <c:v>Snowflake</c:v>
                </c:pt>
                <c:pt idx="4">
                  <c:v>PayPal</c:v>
                </c:pt>
                <c:pt idx="5">
                  <c:v>Fiserv ★</c:v>
                </c:pt>
                <c:pt idx="6">
                  <c:v>SoFi</c:v>
                </c:pt>
                <c:pt idx="7">
                  <c:v>Affirm</c:v>
                </c:pt>
                <c:pt idx="8">
                  <c:v>Global Payments</c:v>
                </c:pt>
                <c:pt idx="9">
                  <c:v>Block Inc.</c:v>
                </c:pt>
                <c:pt idx="10">
                  <c:v>Payoneer</c:v>
                </c:pt>
                <c:pt idx="11">
                  <c:v>Marqeta</c:v>
                </c:pt>
                <c:pt idx="12">
                  <c:v>Chime</c:v>
                </c:pt>
              </c:strCache>
            </c:strRef>
          </c:cat>
          <c:val>
            <c:numRef>
              <c:f>'[1]Peer Comparison'!$J$5:$J$17</c:f>
              <c:numCache>
                <c:formatCode>General</c:formatCode>
                <c:ptCount val="13"/>
                <c:pt idx="0">
                  <c:v>2731</c:v>
                </c:pt>
                <c:pt idx="1">
                  <c:v>8880</c:v>
                </c:pt>
                <c:pt idx="2">
                  <c:v>16285</c:v>
                </c:pt>
                <c:pt idx="3">
                  <c:v>2806</c:v>
                </c:pt>
                <c:pt idx="4">
                  <c:v>31797</c:v>
                </c:pt>
                <c:pt idx="5">
                  <c:v>20456</c:v>
                </c:pt>
                <c:pt idx="6">
                  <c:v>2677</c:v>
                </c:pt>
                <c:pt idx="7">
                  <c:v>2322</c:v>
                </c:pt>
                <c:pt idx="8">
                  <c:v>10106</c:v>
                </c:pt>
                <c:pt idx="9">
                  <c:v>24121</c:v>
                </c:pt>
                <c:pt idx="10">
                  <c:v>978</c:v>
                </c:pt>
                <c:pt idx="11">
                  <c:v>507</c:v>
                </c:pt>
                <c:pt idx="12">
                  <c:v>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9-4EB0-9003-5011C70E5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41222"/>
        <c:axId val="48183554"/>
      </c:barChart>
      <c:catAx>
        <c:axId val="357412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8183554"/>
        <c:crosses val="autoZero"/>
        <c:auto val="1"/>
        <c:lblAlgn val="ctr"/>
        <c:lblOffset val="100"/>
        <c:noMultiLvlLbl val="0"/>
      </c:catAx>
      <c:valAx>
        <c:axId val="481835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57412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EBITDA Margin '24 — Peer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'[1]Peer Comparison'!$R$4</c:f>
              <c:strCache>
                <c:ptCount val="1"/>
                <c:pt idx="0">
                  <c:v>EBITDA
Mgn '24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'[1]Peer Comparison'!$B$5:$B$17</c:f>
              <c:strCache>
                <c:ptCount val="13"/>
                <c:pt idx="0">
                  <c:v>Toast</c:v>
                </c:pt>
                <c:pt idx="1">
                  <c:v>Shopify</c:v>
                </c:pt>
                <c:pt idx="2">
                  <c:v>Intuit</c:v>
                </c:pt>
                <c:pt idx="3">
                  <c:v>Snowflake</c:v>
                </c:pt>
                <c:pt idx="4">
                  <c:v>PayPal</c:v>
                </c:pt>
                <c:pt idx="5">
                  <c:v>Fiserv ★</c:v>
                </c:pt>
                <c:pt idx="6">
                  <c:v>SoFi</c:v>
                </c:pt>
                <c:pt idx="7">
                  <c:v>Affirm</c:v>
                </c:pt>
                <c:pt idx="8">
                  <c:v>Global Payments</c:v>
                </c:pt>
                <c:pt idx="9">
                  <c:v>Block Inc.</c:v>
                </c:pt>
                <c:pt idx="10">
                  <c:v>Payoneer</c:v>
                </c:pt>
                <c:pt idx="11">
                  <c:v>Marqeta</c:v>
                </c:pt>
                <c:pt idx="12">
                  <c:v>Chime</c:v>
                </c:pt>
              </c:strCache>
            </c:strRef>
          </c:cat>
          <c:val>
            <c:numRef>
              <c:f>'[1]Peer Comparison'!$R$5:$R$17</c:f>
              <c:numCache>
                <c:formatCode>General</c:formatCode>
                <c:ptCount val="13"/>
                <c:pt idx="0">
                  <c:v>6.08E-2</c:v>
                </c:pt>
                <c:pt idx="1">
                  <c:v>0.12509999999999999</c:v>
                </c:pt>
                <c:pt idx="2">
                  <c:v>0.25469999999999998</c:v>
                </c:pt>
                <c:pt idx="3">
                  <c:v>-0.34739999999999999</c:v>
                </c:pt>
                <c:pt idx="4">
                  <c:v>0.19989999999999999</c:v>
                </c:pt>
                <c:pt idx="5">
                  <c:v>0.44230000000000003</c:v>
                </c:pt>
                <c:pt idx="6">
                  <c:v>8.7999999999999995E-2</c:v>
                </c:pt>
                <c:pt idx="7">
                  <c:v>0.44529999999999997</c:v>
                </c:pt>
                <c:pt idx="8">
                  <c:v>0.43580000000000002</c:v>
                </c:pt>
                <c:pt idx="9">
                  <c:v>4.6199999999999998E-2</c:v>
                </c:pt>
                <c:pt idx="10">
                  <c:v>0.20080000000000001</c:v>
                </c:pt>
                <c:pt idx="11">
                  <c:v>-1.38E-2</c:v>
                </c:pt>
                <c:pt idx="12">
                  <c:v>-1.4E-2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3F0-B1F4-20DB6678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20360"/>
        <c:axId val="92106856"/>
      </c:barChart>
      <c:catAx>
        <c:axId val="9002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2106856"/>
        <c:crosses val="autoZero"/>
        <c:auto val="1"/>
        <c:lblAlgn val="ctr"/>
        <c:lblOffset val="100"/>
        <c:noMultiLvlLbl val="0"/>
      </c:catAx>
      <c:valAx>
        <c:axId val="921068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EBITDA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0020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EV/EBITDA '24 — Trading Multiple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'[1]Peer Comparison'!$X$4</c:f>
              <c:strCache>
                <c:ptCount val="1"/>
                <c:pt idx="0">
                  <c:v>EV/EBITDA
'24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'[1]Peer Comparison'!$B$5:$B$17</c:f>
              <c:strCache>
                <c:ptCount val="13"/>
                <c:pt idx="0">
                  <c:v>Toast</c:v>
                </c:pt>
                <c:pt idx="1">
                  <c:v>Shopify</c:v>
                </c:pt>
                <c:pt idx="2">
                  <c:v>Intuit</c:v>
                </c:pt>
                <c:pt idx="3">
                  <c:v>Snowflake</c:v>
                </c:pt>
                <c:pt idx="4">
                  <c:v>PayPal</c:v>
                </c:pt>
                <c:pt idx="5">
                  <c:v>Fiserv ★</c:v>
                </c:pt>
                <c:pt idx="6">
                  <c:v>SoFi</c:v>
                </c:pt>
                <c:pt idx="7">
                  <c:v>Affirm</c:v>
                </c:pt>
                <c:pt idx="8">
                  <c:v>Global Payments</c:v>
                </c:pt>
                <c:pt idx="9">
                  <c:v>Block Inc.</c:v>
                </c:pt>
                <c:pt idx="10">
                  <c:v>Payoneer</c:v>
                </c:pt>
                <c:pt idx="11">
                  <c:v>Marqeta</c:v>
                </c:pt>
                <c:pt idx="12">
                  <c:v>Chime</c:v>
                </c:pt>
              </c:strCache>
            </c:strRef>
          </c:cat>
          <c:val>
            <c:numRef>
              <c:f>'[1]Peer Comparison'!$X$5:$X$17</c:f>
              <c:numCache>
                <c:formatCode>General</c:formatCode>
                <c:ptCount val="13"/>
                <c:pt idx="0">
                  <c:v>105.404</c:v>
                </c:pt>
                <c:pt idx="1">
                  <c:v>184.715</c:v>
                </c:pt>
                <c:pt idx="2">
                  <c:v>44.959000000000003</c:v>
                </c:pt>
                <c:pt idx="3">
                  <c:v>0</c:v>
                </c:pt>
                <c:pt idx="4">
                  <c:v>10.847</c:v>
                </c:pt>
                <c:pt idx="5">
                  <c:v>6.5949999999999998</c:v>
                </c:pt>
                <c:pt idx="6">
                  <c:v>149.00899999999999</c:v>
                </c:pt>
                <c:pt idx="7">
                  <c:v>28.56</c:v>
                </c:pt>
                <c:pt idx="8">
                  <c:v>7.4909999999999997</c:v>
                </c:pt>
                <c:pt idx="9">
                  <c:v>10.698</c:v>
                </c:pt>
                <c:pt idx="10">
                  <c:v>8.8859999999999992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B-463B-902D-304C8AB2C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587753"/>
        <c:axId val="50928457"/>
      </c:barChart>
      <c:catAx>
        <c:axId val="81587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0928457"/>
        <c:crosses val="autoZero"/>
        <c:auto val="1"/>
        <c:lblAlgn val="ctr"/>
        <c:lblOffset val="100"/>
        <c:noMultiLvlLbl val="0"/>
      </c:catAx>
      <c:valAx>
        <c:axId val="509284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EV/EBITDA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1587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EV/Revenue '24 — Multiple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'[1]Peer Comparison'!$V$4</c:f>
              <c:strCache>
                <c:ptCount val="1"/>
                <c:pt idx="0">
                  <c:v>EV/Rev
'24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'[1]Peer Comparison'!$B$5:$B$17</c:f>
              <c:strCache>
                <c:ptCount val="13"/>
                <c:pt idx="0">
                  <c:v>Toast</c:v>
                </c:pt>
                <c:pt idx="1">
                  <c:v>Shopify</c:v>
                </c:pt>
                <c:pt idx="2">
                  <c:v>Intuit</c:v>
                </c:pt>
                <c:pt idx="3">
                  <c:v>Snowflake</c:v>
                </c:pt>
                <c:pt idx="4">
                  <c:v>PayPal</c:v>
                </c:pt>
                <c:pt idx="5">
                  <c:v>Fiserv ★</c:v>
                </c:pt>
                <c:pt idx="6">
                  <c:v>SoFi</c:v>
                </c:pt>
                <c:pt idx="7">
                  <c:v>Affirm</c:v>
                </c:pt>
                <c:pt idx="8">
                  <c:v>Global Payments</c:v>
                </c:pt>
                <c:pt idx="9">
                  <c:v>Block Inc.</c:v>
                </c:pt>
                <c:pt idx="10">
                  <c:v>Payoneer</c:v>
                </c:pt>
                <c:pt idx="11">
                  <c:v>Marqeta</c:v>
                </c:pt>
                <c:pt idx="12">
                  <c:v>Chime</c:v>
                </c:pt>
              </c:strCache>
            </c:strRef>
          </c:cat>
          <c:val>
            <c:numRef>
              <c:f>'[1]Peer Comparison'!$V$5:$V$17</c:f>
              <c:numCache>
                <c:formatCode>General</c:formatCode>
                <c:ptCount val="13"/>
                <c:pt idx="0">
                  <c:v>6.407</c:v>
                </c:pt>
                <c:pt idx="1">
                  <c:v>23.11</c:v>
                </c:pt>
                <c:pt idx="2">
                  <c:v>11.452</c:v>
                </c:pt>
                <c:pt idx="3">
                  <c:v>31.672999999999998</c:v>
                </c:pt>
                <c:pt idx="4">
                  <c:v>2.169</c:v>
                </c:pt>
                <c:pt idx="5">
                  <c:v>2.9169999999999998</c:v>
                </c:pt>
                <c:pt idx="6">
                  <c:v>13.112</c:v>
                </c:pt>
                <c:pt idx="7">
                  <c:v>12.718</c:v>
                </c:pt>
                <c:pt idx="8">
                  <c:v>3.2650000000000001</c:v>
                </c:pt>
                <c:pt idx="9">
                  <c:v>0.495</c:v>
                </c:pt>
                <c:pt idx="10">
                  <c:v>1.784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9-4F1E-B771-008521B07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64858"/>
        <c:axId val="450456"/>
      </c:barChart>
      <c:catAx>
        <c:axId val="93064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50456"/>
        <c:crosses val="autoZero"/>
        <c:auto val="1"/>
        <c:lblAlgn val="ctr"/>
        <c:lblOffset val="100"/>
        <c:noMultiLvlLbl val="0"/>
      </c:catAx>
      <c:valAx>
        <c:axId val="4504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EV/Revenue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3064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24</xdr:row>
      <xdr:rowOff>23475</xdr:rowOff>
    </xdr:from>
    <xdr:to>
      <xdr:col>6</xdr:col>
      <xdr:colOff>724485</xdr:colOff>
      <xdr:row>46</xdr:row>
      <xdr:rowOff>151695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5</xdr:col>
      <xdr:colOff>246600</xdr:colOff>
      <xdr:row>31</xdr:row>
      <xdr:rowOff>109080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12</xdr:col>
      <xdr:colOff>174</xdr:colOff>
      <xdr:row>48</xdr:row>
      <xdr:rowOff>86760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2B7ECEF7-F2AA-4682-99A7-233ECA031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22</xdr:row>
      <xdr:rowOff>0</xdr:rowOff>
    </xdr:from>
    <xdr:to>
      <xdr:col>24</xdr:col>
      <xdr:colOff>1349</xdr:colOff>
      <xdr:row>48</xdr:row>
      <xdr:rowOff>86760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DB58C092-9052-4446-90D8-613A8CA5A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4556</xdr:colOff>
      <xdr:row>49</xdr:row>
      <xdr:rowOff>147016</xdr:rowOff>
    </xdr:from>
    <xdr:to>
      <xdr:col>12</xdr:col>
      <xdr:colOff>4730</xdr:colOff>
      <xdr:row>76</xdr:row>
      <xdr:rowOff>42916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70C950DE-4622-4428-8B01-9D9F7CB6D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85725</xdr:colOff>
      <xdr:row>49</xdr:row>
      <xdr:rowOff>85725</xdr:rowOff>
    </xdr:from>
    <xdr:to>
      <xdr:col>24</xdr:col>
      <xdr:colOff>87074</xdr:colOff>
      <xdr:row>75</xdr:row>
      <xdr:rowOff>172125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9669CF38-A154-4C8B-9EEE-F42CA5251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ann\Downloads\FISERV_FINAL.xlsx" TargetMode="External"/><Relationship Id="rId1" Type="http://schemas.openxmlformats.org/officeDocument/2006/relationships/externalLinkPath" Target="FISERV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SERV Inc 3 income statement"/>
      <sheetName val="WACC Correction"/>
      <sheetName val="Cost of Debt"/>
      <sheetName val="Business Information"/>
      <sheetName val="Assumptions"/>
      <sheetName val="Regression"/>
      <sheetName val="Sheet5"/>
      <sheetName val="Sheet2"/>
      <sheetName val="Peer 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H4" t="str">
            <v>Rev '22
($M)</v>
          </cell>
          <cell r="I4" t="str">
            <v>Rev '23
($M)</v>
          </cell>
          <cell r="J4" t="str">
            <v>Rev '24
($M)</v>
          </cell>
          <cell r="R4" t="str">
            <v>EBITDA
Mgn '24</v>
          </cell>
          <cell r="V4" t="str">
            <v>EV/Rev
'24</v>
          </cell>
          <cell r="X4" t="str">
            <v>EV/EBITDA
'24</v>
          </cell>
        </row>
        <row r="5">
          <cell r="B5" t="str">
            <v>Toast</v>
          </cell>
          <cell r="H5">
            <v>2731</v>
          </cell>
          <cell r="I5">
            <v>3865</v>
          </cell>
          <cell r="J5">
            <v>2731</v>
          </cell>
          <cell r="R5">
            <v>6.08E-2</v>
          </cell>
          <cell r="V5">
            <v>6.407</v>
          </cell>
          <cell r="X5">
            <v>105.404</v>
          </cell>
        </row>
        <row r="6">
          <cell r="B6" t="str">
            <v>Shopify</v>
          </cell>
          <cell r="H6">
            <v>5600</v>
          </cell>
          <cell r="I6">
            <v>7060</v>
          </cell>
          <cell r="J6">
            <v>8880</v>
          </cell>
          <cell r="R6">
            <v>0.12509999999999999</v>
          </cell>
          <cell r="V6">
            <v>23.11</v>
          </cell>
          <cell r="X6">
            <v>184.715</v>
          </cell>
        </row>
        <row r="7">
          <cell r="B7" t="str">
            <v>Intuit</v>
          </cell>
          <cell r="H7">
            <v>12726</v>
          </cell>
          <cell r="I7">
            <v>14368</v>
          </cell>
          <cell r="J7">
            <v>16285</v>
          </cell>
          <cell r="R7">
            <v>0.25469999999999998</v>
          </cell>
          <cell r="V7">
            <v>11.452</v>
          </cell>
          <cell r="X7">
            <v>44.959000000000003</v>
          </cell>
        </row>
        <row r="8">
          <cell r="B8" t="str">
            <v>Snowflake</v>
          </cell>
          <cell r="H8">
            <v>1219</v>
          </cell>
          <cell r="I8">
            <v>2066</v>
          </cell>
          <cell r="J8">
            <v>2806</v>
          </cell>
          <cell r="R8">
            <v>-0.34739999999999999</v>
          </cell>
          <cell r="V8">
            <v>31.672999999999998</v>
          </cell>
          <cell r="X8" t="str">
            <v>NM</v>
          </cell>
        </row>
        <row r="9">
          <cell r="B9" t="str">
            <v>PayPal</v>
          </cell>
          <cell r="H9">
            <v>27518</v>
          </cell>
          <cell r="I9">
            <v>29771</v>
          </cell>
          <cell r="J9">
            <v>31797</v>
          </cell>
          <cell r="R9">
            <v>0.19989999999999999</v>
          </cell>
          <cell r="V9">
            <v>2.169</v>
          </cell>
          <cell r="X9">
            <v>10.847</v>
          </cell>
        </row>
        <row r="10">
          <cell r="B10" t="str">
            <v>Fiserv ★</v>
          </cell>
          <cell r="H10">
            <v>17737</v>
          </cell>
          <cell r="I10">
            <v>19093</v>
          </cell>
          <cell r="J10">
            <v>20456</v>
          </cell>
          <cell r="R10">
            <v>0.44230000000000003</v>
          </cell>
          <cell r="V10">
            <v>2.9169999999999998</v>
          </cell>
          <cell r="X10">
            <v>6.5949999999999998</v>
          </cell>
        </row>
        <row r="11">
          <cell r="B11" t="str">
            <v>SoFi</v>
          </cell>
          <cell r="H11">
            <v>1574</v>
          </cell>
          <cell r="I11">
            <v>2124</v>
          </cell>
          <cell r="J11">
            <v>2677</v>
          </cell>
          <cell r="R11">
            <v>8.7999999999999995E-2</v>
          </cell>
          <cell r="V11">
            <v>13.112</v>
          </cell>
          <cell r="X11">
            <v>149.00899999999999</v>
          </cell>
        </row>
        <row r="12">
          <cell r="B12" t="str">
            <v>Affirm</v>
          </cell>
          <cell r="H12">
            <v>1349</v>
          </cell>
          <cell r="I12">
            <v>1587</v>
          </cell>
          <cell r="J12">
            <v>2322</v>
          </cell>
          <cell r="R12">
            <v>0.44529999999999997</v>
          </cell>
          <cell r="V12">
            <v>12.718</v>
          </cell>
          <cell r="X12">
            <v>28.56</v>
          </cell>
        </row>
        <row r="13">
          <cell r="B13" t="str">
            <v>Global Payments</v>
          </cell>
          <cell r="H13">
            <v>8976</v>
          </cell>
          <cell r="I13">
            <v>9654</v>
          </cell>
          <cell r="J13">
            <v>10106</v>
          </cell>
          <cell r="R13">
            <v>0.43580000000000002</v>
          </cell>
          <cell r="V13">
            <v>3.2650000000000001</v>
          </cell>
          <cell r="X13">
            <v>7.4909999999999997</v>
          </cell>
        </row>
        <row r="14">
          <cell r="B14" t="str">
            <v>Block Inc.</v>
          </cell>
          <cell r="H14">
            <v>17532</v>
          </cell>
          <cell r="I14">
            <v>21916</v>
          </cell>
          <cell r="J14">
            <v>24121</v>
          </cell>
          <cell r="R14">
            <v>4.6199999999999998E-2</v>
          </cell>
          <cell r="V14">
            <v>0.495</v>
          </cell>
          <cell r="X14">
            <v>10.698</v>
          </cell>
        </row>
        <row r="15">
          <cell r="B15" t="str">
            <v>Payoneer</v>
          </cell>
          <cell r="H15">
            <v>628</v>
          </cell>
          <cell r="I15">
            <v>831</v>
          </cell>
          <cell r="J15">
            <v>978</v>
          </cell>
          <cell r="R15">
            <v>0.20080000000000001</v>
          </cell>
          <cell r="V15">
            <v>1.784</v>
          </cell>
          <cell r="X15">
            <v>8.8859999999999992</v>
          </cell>
        </row>
        <row r="16">
          <cell r="B16" t="str">
            <v>Marqeta</v>
          </cell>
          <cell r="H16">
            <v>748</v>
          </cell>
          <cell r="I16">
            <v>676</v>
          </cell>
          <cell r="J16">
            <v>507</v>
          </cell>
          <cell r="R16">
            <v>-1.38E-2</v>
          </cell>
          <cell r="V16" t="str">
            <v>NM</v>
          </cell>
          <cell r="X16" t="str">
            <v>NM</v>
          </cell>
        </row>
        <row r="17">
          <cell r="B17" t="str">
            <v>Chime</v>
          </cell>
          <cell r="H17">
            <v>0</v>
          </cell>
          <cell r="I17">
            <v>0</v>
          </cell>
          <cell r="J17">
            <v>1198</v>
          </cell>
          <cell r="R17">
            <v>-1.4E-2</v>
          </cell>
          <cell r="V17" t="str">
            <v>NM</v>
          </cell>
          <cell r="X17" t="str">
            <v>NM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"/>
  <sheetViews>
    <sheetView showGridLines="0" tabSelected="1" zoomScaleNormal="100" workbookViewId="0">
      <selection activeCell="D10" sqref="D10:E10"/>
    </sheetView>
  </sheetViews>
  <sheetFormatPr defaultColWidth="8.7109375" defaultRowHeight="14.25" x14ac:dyDescent="0.2"/>
  <cols>
    <col min="1" max="1" width="2" style="56" customWidth="1"/>
    <col min="2" max="11" width="16" style="56" customWidth="1"/>
    <col min="12" max="16384" width="8.7109375" style="56"/>
  </cols>
  <sheetData>
    <row r="1" spans="2:11" ht="7.5" customHeight="1" x14ac:dyDescent="0.2"/>
    <row r="2" spans="2:11" ht="15" customHeight="1" x14ac:dyDescent="0.2">
      <c r="B2" s="85" t="s">
        <v>0</v>
      </c>
      <c r="C2" s="85"/>
      <c r="D2" s="85"/>
      <c r="E2" s="85"/>
      <c r="F2" s="85"/>
      <c r="G2" s="85"/>
      <c r="H2" s="85"/>
      <c r="I2" s="85"/>
      <c r="J2" s="85"/>
      <c r="K2" s="85"/>
    </row>
    <row r="3" spans="2:11" ht="15" customHeight="1" x14ac:dyDescent="0.2"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2:11" ht="15" customHeight="1" x14ac:dyDescent="0.2">
      <c r="B4" s="85"/>
      <c r="C4" s="85"/>
      <c r="D4" s="85"/>
      <c r="E4" s="85"/>
      <c r="F4" s="85"/>
      <c r="G4" s="85"/>
      <c r="H4" s="85"/>
      <c r="I4" s="85"/>
      <c r="J4" s="85"/>
      <c r="K4" s="85"/>
    </row>
    <row r="5" spans="2:11" ht="19.5" customHeight="1" x14ac:dyDescent="0.2">
      <c r="B5" s="86" t="s">
        <v>1</v>
      </c>
      <c r="C5" s="86"/>
      <c r="D5" s="86"/>
      <c r="E5" s="86"/>
      <c r="F5" s="86"/>
      <c r="G5" s="86"/>
      <c r="H5" s="86"/>
      <c r="I5" s="86"/>
      <c r="J5" s="86"/>
      <c r="K5" s="86"/>
    </row>
    <row r="6" spans="2:11" ht="4.5" customHeight="1" x14ac:dyDescent="0.2">
      <c r="B6" s="87"/>
      <c r="C6" s="87"/>
      <c r="D6" s="87"/>
      <c r="E6" s="87"/>
      <c r="F6" s="87"/>
      <c r="G6" s="87"/>
      <c r="H6" s="87"/>
      <c r="I6" s="87"/>
      <c r="J6" s="87"/>
      <c r="K6" s="87"/>
    </row>
    <row r="8" spans="2:11" ht="15" customHeight="1" x14ac:dyDescent="0.2">
      <c r="B8" s="88" t="s">
        <v>2</v>
      </c>
      <c r="C8" s="88"/>
      <c r="D8" s="88" t="s">
        <v>3</v>
      </c>
      <c r="E8" s="88"/>
      <c r="F8" s="88" t="s">
        <v>4</v>
      </c>
      <c r="G8" s="88"/>
      <c r="H8" s="88" t="s">
        <v>5</v>
      </c>
      <c r="I8" s="88"/>
    </row>
    <row r="9" spans="2:11" ht="34.5" customHeight="1" x14ac:dyDescent="0.2">
      <c r="B9" s="89">
        <f>'WACC Model'!C27</f>
        <v>8.2916100000000006E-2</v>
      </c>
      <c r="C9" s="89"/>
      <c r="D9" s="90">
        <f>'Industry Multiples'!D5</f>
        <v>19.703499999999998</v>
      </c>
      <c r="E9" s="90"/>
      <c r="F9" s="90">
        <f>'Industry Multiples'!D7</f>
        <v>21.018000000000001</v>
      </c>
      <c r="G9" s="90"/>
      <c r="H9" s="90">
        <f>'Industry Multiples'!D6</f>
        <v>6.407</v>
      </c>
      <c r="I9" s="90"/>
    </row>
    <row r="10" spans="2:11" ht="27.75" customHeight="1" x14ac:dyDescent="0.2">
      <c r="B10" s="91" t="s">
        <v>172</v>
      </c>
      <c r="C10" s="91"/>
      <c r="D10" s="91" t="s">
        <v>173</v>
      </c>
      <c r="E10" s="91"/>
      <c r="F10" s="91" t="s">
        <v>173</v>
      </c>
      <c r="G10" s="91"/>
      <c r="H10" s="91" t="s">
        <v>173</v>
      </c>
      <c r="I10" s="91"/>
    </row>
    <row r="11" spans="2:11" ht="9.75" customHeight="1" x14ac:dyDescent="0.2"/>
    <row r="12" spans="2:11" ht="7.5" customHeight="1" x14ac:dyDescent="0.2"/>
    <row r="13" spans="2:11" ht="21.75" customHeight="1" x14ac:dyDescent="0.2">
      <c r="B13" s="92" t="s">
        <v>6</v>
      </c>
      <c r="C13" s="92"/>
      <c r="D13" s="92"/>
      <c r="E13" s="92" t="s">
        <v>7</v>
      </c>
      <c r="F13" s="92"/>
      <c r="G13" s="92"/>
      <c r="H13" s="92" t="s">
        <v>8</v>
      </c>
      <c r="I13" s="92"/>
      <c r="J13" s="92"/>
    </row>
    <row r="14" spans="2:11" ht="19.5" customHeight="1" x14ac:dyDescent="0.2">
      <c r="B14" s="93" t="s">
        <v>9</v>
      </c>
      <c r="C14" s="93"/>
      <c r="D14" s="93"/>
      <c r="E14" s="94" t="s">
        <v>10</v>
      </c>
      <c r="F14" s="94"/>
      <c r="G14" s="94"/>
      <c r="H14" s="94" t="s">
        <v>11</v>
      </c>
      <c r="I14" s="94"/>
      <c r="J14" s="94"/>
    </row>
    <row r="15" spans="2:11" ht="19.5" customHeight="1" x14ac:dyDescent="0.2">
      <c r="B15" s="95" t="s">
        <v>12</v>
      </c>
      <c r="C15" s="95"/>
      <c r="D15" s="95"/>
      <c r="E15" s="96" t="s">
        <v>13</v>
      </c>
      <c r="F15" s="96"/>
      <c r="G15" s="96"/>
      <c r="H15" s="96" t="s">
        <v>14</v>
      </c>
      <c r="I15" s="96"/>
      <c r="J15" s="96"/>
    </row>
    <row r="16" spans="2:11" ht="19.5" customHeight="1" x14ac:dyDescent="0.2">
      <c r="B16" s="93" t="s">
        <v>15</v>
      </c>
      <c r="C16" s="93"/>
      <c r="D16" s="93"/>
      <c r="E16" s="94" t="s">
        <v>16</v>
      </c>
      <c r="F16" s="94"/>
      <c r="G16" s="94"/>
      <c r="H16" s="94" t="s">
        <v>17</v>
      </c>
      <c r="I16" s="94"/>
      <c r="J16" s="94"/>
    </row>
    <row r="17" spans="2:10" ht="19.5" customHeight="1" x14ac:dyDescent="0.2">
      <c r="B17" s="95" t="s">
        <v>18</v>
      </c>
      <c r="C17" s="95"/>
      <c r="D17" s="95"/>
      <c r="E17" s="96" t="s">
        <v>19</v>
      </c>
      <c r="F17" s="96"/>
      <c r="G17" s="96"/>
      <c r="H17" s="96" t="s">
        <v>20</v>
      </c>
      <c r="I17" s="96"/>
      <c r="J17" s="96"/>
    </row>
  </sheetData>
  <mergeCells count="30">
    <mergeCell ref="B17:D17"/>
    <mergeCell ref="E17:G17"/>
    <mergeCell ref="H17:J17"/>
    <mergeCell ref="B15:D15"/>
    <mergeCell ref="E15:G15"/>
    <mergeCell ref="H15:J15"/>
    <mergeCell ref="B16:D16"/>
    <mergeCell ref="E16:G16"/>
    <mergeCell ref="H16:J16"/>
    <mergeCell ref="B13:D13"/>
    <mergeCell ref="E13:G13"/>
    <mergeCell ref="H13:J13"/>
    <mergeCell ref="B14:D14"/>
    <mergeCell ref="E14:G14"/>
    <mergeCell ref="H14:J14"/>
    <mergeCell ref="B9:C9"/>
    <mergeCell ref="D9:E9"/>
    <mergeCell ref="F9:G9"/>
    <mergeCell ref="H9:I9"/>
    <mergeCell ref="B10:C10"/>
    <mergeCell ref="D10:E10"/>
    <mergeCell ref="F10:G10"/>
    <mergeCell ref="H10:I10"/>
    <mergeCell ref="B2:K4"/>
    <mergeCell ref="B5:K5"/>
    <mergeCell ref="B6:K6"/>
    <mergeCell ref="B8:C8"/>
    <mergeCell ref="D8:E8"/>
    <mergeCell ref="F8:G8"/>
    <mergeCell ref="H8:I8"/>
  </mergeCells>
  <hyperlinks>
    <hyperlink ref="B10:C10" location="'WACC Model'!A1" display="Source: WACC Model" xr:uid="{127E55BA-6CAA-467E-97B4-9262B7641B15}"/>
    <hyperlink ref="D10:I10" location="'Industry Multiples'!A1" display="Source: Industry Multiples" xr:uid="{B16F5B0E-0F20-4E16-959F-69BE5D070EE9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6"/>
  <sheetViews>
    <sheetView showGridLines="0" zoomScale="115" zoomScaleNormal="115" workbookViewId="0"/>
  </sheetViews>
  <sheetFormatPr defaultColWidth="8.7109375" defaultRowHeight="14.25" x14ac:dyDescent="0.2"/>
  <cols>
    <col min="1" max="1" width="2" style="56" customWidth="1"/>
    <col min="2" max="2" width="32" style="56" customWidth="1"/>
    <col min="3" max="3" width="7.5703125" style="56" bestFit="1" customWidth="1"/>
    <col min="4" max="4" width="33.5703125" style="56" bestFit="1" customWidth="1"/>
    <col min="5" max="5" width="23.28515625" style="56" bestFit="1" customWidth="1"/>
    <col min="6" max="6" width="16" style="56" customWidth="1"/>
    <col min="7" max="16384" width="8.7109375" style="56"/>
  </cols>
  <sheetData>
    <row r="1" spans="2:6" ht="27.75" customHeight="1" x14ac:dyDescent="0.2">
      <c r="B1" s="55" t="s">
        <v>21</v>
      </c>
      <c r="C1" s="55"/>
      <c r="D1" s="55"/>
      <c r="E1" s="55"/>
      <c r="F1" s="55"/>
    </row>
    <row r="2" spans="2:6" ht="15.75" customHeight="1" x14ac:dyDescent="0.2">
      <c r="B2" s="57" t="s">
        <v>22</v>
      </c>
      <c r="C2" s="57"/>
      <c r="D2" s="57"/>
      <c r="E2" s="57"/>
      <c r="F2" s="57"/>
    </row>
    <row r="4" spans="2:6" ht="19.5" customHeight="1" x14ac:dyDescent="0.2">
      <c r="B4" s="58" t="s">
        <v>23</v>
      </c>
      <c r="C4" s="58"/>
      <c r="D4" s="58"/>
      <c r="E4" s="58"/>
    </row>
    <row r="5" spans="2:6" ht="18" customHeight="1" x14ac:dyDescent="0.2">
      <c r="B5" s="59" t="s">
        <v>24</v>
      </c>
      <c r="C5" s="59" t="s">
        <v>25</v>
      </c>
      <c r="D5" s="59" t="s">
        <v>26</v>
      </c>
    </row>
    <row r="6" spans="2:6" ht="18" customHeight="1" x14ac:dyDescent="0.2">
      <c r="B6" s="60" t="s">
        <v>27</v>
      </c>
      <c r="C6" s="61">
        <v>4.3499999999999997E-2</v>
      </c>
      <c r="D6" s="62" t="s">
        <v>28</v>
      </c>
      <c r="E6" s="63" t="s">
        <v>29</v>
      </c>
    </row>
    <row r="7" spans="2:6" ht="18" customHeight="1" x14ac:dyDescent="0.2">
      <c r="B7" s="64" t="s">
        <v>30</v>
      </c>
      <c r="C7" s="65">
        <v>5.5E-2</v>
      </c>
      <c r="D7" s="66" t="s">
        <v>31</v>
      </c>
      <c r="E7" s="67" t="s">
        <v>32</v>
      </c>
    </row>
    <row r="8" spans="2:6" ht="18" customHeight="1" x14ac:dyDescent="0.2">
      <c r="B8" s="60" t="s">
        <v>33</v>
      </c>
      <c r="C8" s="68">
        <v>1.25</v>
      </c>
      <c r="D8" s="62" t="s">
        <v>34</v>
      </c>
      <c r="E8" s="63" t="s">
        <v>35</v>
      </c>
    </row>
    <row r="9" spans="2:6" ht="18" customHeight="1" x14ac:dyDescent="0.2">
      <c r="B9" s="64" t="s">
        <v>36</v>
      </c>
      <c r="C9" s="65">
        <v>5.0000000000000001E-3</v>
      </c>
      <c r="D9" s="66" t="s">
        <v>37</v>
      </c>
    </row>
    <row r="10" spans="2:6" ht="21.75" customHeight="1" x14ac:dyDescent="0.2">
      <c r="B10" s="69" t="s">
        <v>38</v>
      </c>
      <c r="C10" s="70">
        <f>C6+C8*C7+C9</f>
        <v>0.11725000000000001</v>
      </c>
      <c r="D10" s="71" t="s">
        <v>39</v>
      </c>
    </row>
    <row r="11" spans="2:6" ht="7.5" customHeight="1" x14ac:dyDescent="0.2"/>
    <row r="12" spans="2:6" ht="19.5" customHeight="1" x14ac:dyDescent="0.2">
      <c r="B12" s="58" t="s">
        <v>40</v>
      </c>
      <c r="C12" s="58"/>
      <c r="D12" s="58"/>
      <c r="E12" s="58"/>
    </row>
    <row r="13" spans="2:6" ht="15" customHeight="1" x14ac:dyDescent="0.2">
      <c r="B13" s="59" t="s">
        <v>24</v>
      </c>
      <c r="C13" s="59" t="s">
        <v>25</v>
      </c>
      <c r="D13" s="59" t="s">
        <v>26</v>
      </c>
    </row>
    <row r="14" spans="2:6" ht="18" customHeight="1" x14ac:dyDescent="0.2">
      <c r="B14" s="60" t="s">
        <v>41</v>
      </c>
      <c r="C14" s="61">
        <v>6.5000000000000002E-2</v>
      </c>
      <c r="D14" s="62" t="s">
        <v>42</v>
      </c>
    </row>
    <row r="15" spans="2:6" ht="18" customHeight="1" x14ac:dyDescent="0.2">
      <c r="B15" s="64" t="s">
        <v>43</v>
      </c>
      <c r="C15" s="65">
        <v>0.21</v>
      </c>
      <c r="D15" s="66" t="s">
        <v>44</v>
      </c>
    </row>
    <row r="16" spans="2:6" ht="21.75" customHeight="1" x14ac:dyDescent="0.2">
      <c r="B16" s="69" t="s">
        <v>45</v>
      </c>
      <c r="C16" s="70">
        <f>C14*(1-C15)</f>
        <v>5.1350000000000007E-2</v>
      </c>
      <c r="D16" s="71" t="s">
        <v>46</v>
      </c>
    </row>
    <row r="17" spans="2:9" ht="7.5" customHeight="1" x14ac:dyDescent="0.2"/>
    <row r="18" spans="2:9" ht="19.5" customHeight="1" x14ac:dyDescent="0.2">
      <c r="B18" s="58" t="s">
        <v>47</v>
      </c>
      <c r="C18" s="58"/>
      <c r="D18" s="58"/>
      <c r="E18" s="58"/>
    </row>
    <row r="19" spans="2:9" ht="15" customHeight="1" x14ac:dyDescent="0.2">
      <c r="B19" s="59" t="s">
        <v>24</v>
      </c>
      <c r="C19" s="59" t="s">
        <v>25</v>
      </c>
      <c r="D19" s="59" t="s">
        <v>26</v>
      </c>
    </row>
    <row r="20" spans="2:9" ht="18" customHeight="1" x14ac:dyDescent="0.2">
      <c r="B20" s="60" t="s">
        <v>48</v>
      </c>
      <c r="C20" s="61">
        <v>0.47899999999999998</v>
      </c>
      <c r="D20" s="62" t="s">
        <v>49</v>
      </c>
    </row>
    <row r="21" spans="2:9" ht="18" customHeight="1" x14ac:dyDescent="0.2">
      <c r="B21" s="64" t="s">
        <v>50</v>
      </c>
      <c r="C21" s="72">
        <f>1-C20</f>
        <v>0.52100000000000002</v>
      </c>
      <c r="D21" s="66" t="s">
        <v>51</v>
      </c>
    </row>
    <row r="22" spans="2:9" ht="7.5" customHeight="1" x14ac:dyDescent="0.2"/>
    <row r="23" spans="2:9" ht="19.5" customHeight="1" x14ac:dyDescent="0.2">
      <c r="B23" s="73" t="s">
        <v>52</v>
      </c>
      <c r="C23" s="73"/>
      <c r="D23" s="73"/>
      <c r="E23" s="73"/>
    </row>
    <row r="24" spans="2:9" ht="15" customHeight="1" x14ac:dyDescent="0.2">
      <c r="B24" s="59" t="s">
        <v>24</v>
      </c>
      <c r="C24" s="59" t="s">
        <v>25</v>
      </c>
      <c r="D24" s="59" t="s">
        <v>26</v>
      </c>
    </row>
    <row r="25" spans="2:9" ht="18" customHeight="1" x14ac:dyDescent="0.2">
      <c r="B25" s="74" t="s">
        <v>53</v>
      </c>
      <c r="C25" s="75">
        <f>C10*C20</f>
        <v>5.6162750000000004E-2</v>
      </c>
      <c r="D25" s="76" t="s">
        <v>54</v>
      </c>
    </row>
    <row r="26" spans="2:9" ht="18" customHeight="1" x14ac:dyDescent="0.2">
      <c r="B26" s="74" t="s">
        <v>55</v>
      </c>
      <c r="C26" s="75">
        <f>C16*C21</f>
        <v>2.6753350000000006E-2</v>
      </c>
      <c r="D26" s="76" t="s">
        <v>51</v>
      </c>
    </row>
    <row r="27" spans="2:9" ht="24" customHeight="1" x14ac:dyDescent="0.2">
      <c r="B27" s="77" t="s">
        <v>171</v>
      </c>
      <c r="C27" s="78">
        <f>C25+C26</f>
        <v>8.2916100000000006E-2</v>
      </c>
      <c r="D27" s="79" t="s">
        <v>56</v>
      </c>
    </row>
    <row r="29" spans="2:9" ht="7.5" customHeight="1" x14ac:dyDescent="0.2"/>
    <row r="30" spans="2:9" ht="19.5" customHeight="1" x14ac:dyDescent="0.25">
      <c r="B30" s="97" t="s">
        <v>170</v>
      </c>
      <c r="C30" s="98"/>
      <c r="D30" s="98"/>
      <c r="E30" s="98"/>
      <c r="F30" s="98"/>
      <c r="G30" s="99"/>
      <c r="H30"/>
      <c r="I30"/>
    </row>
    <row r="31" spans="2:9" ht="15" customHeight="1" x14ac:dyDescent="0.2">
      <c r="B31" s="80">
        <f>C27</f>
        <v>8.2916100000000006E-2</v>
      </c>
      <c r="C31" s="80">
        <v>4.4999999999999998E-2</v>
      </c>
      <c r="D31" s="80">
        <v>5.5E-2</v>
      </c>
      <c r="E31" s="80">
        <v>6.5000000000000002E-2</v>
      </c>
      <c r="F31" s="80">
        <v>7.4999999999999997E-2</v>
      </c>
      <c r="G31" s="80">
        <v>8.5000000000000006E-2</v>
      </c>
    </row>
    <row r="32" spans="2:9" ht="18" customHeight="1" x14ac:dyDescent="0.2">
      <c r="B32" s="81">
        <v>0.9</v>
      </c>
      <c r="C32" s="82">
        <f t="dataTable" ref="C32:G36" dt2D="1" dtr="1" r1="C8" r2="C7"/>
        <v>6.9384349999999997E-2</v>
      </c>
      <c r="D32" s="82">
        <v>7.3695350000000007E-2</v>
      </c>
      <c r="E32" s="82">
        <v>7.8006350000000016E-2</v>
      </c>
      <c r="F32" s="82">
        <v>8.2317350000000011E-2</v>
      </c>
      <c r="G32" s="82">
        <v>8.6628350000000007E-2</v>
      </c>
    </row>
    <row r="33" spans="2:7" ht="18" customHeight="1" x14ac:dyDescent="0.2">
      <c r="B33" s="81">
        <v>1.05</v>
      </c>
      <c r="C33" s="83">
        <v>7.2617600000000004E-2</v>
      </c>
      <c r="D33" s="83">
        <v>7.7647100000000011E-2</v>
      </c>
      <c r="E33" s="83">
        <v>8.2676600000000003E-2</v>
      </c>
      <c r="F33" s="83">
        <v>8.7706100000000009E-2</v>
      </c>
      <c r="G33" s="83">
        <v>9.2735600000000015E-2</v>
      </c>
    </row>
    <row r="34" spans="2:7" ht="18" customHeight="1" x14ac:dyDescent="0.2">
      <c r="B34" s="81">
        <v>1.2</v>
      </c>
      <c r="C34" s="82">
        <v>7.5850850000000011E-2</v>
      </c>
      <c r="D34" s="82">
        <v>8.1598850000000001E-2</v>
      </c>
      <c r="E34" s="84">
        <v>8.7346850000000004E-2</v>
      </c>
      <c r="F34" s="82">
        <v>9.3094850000000007E-2</v>
      </c>
      <c r="G34" s="82">
        <v>9.8842850000000024E-2</v>
      </c>
    </row>
    <row r="35" spans="2:7" ht="18" customHeight="1" x14ac:dyDescent="0.2">
      <c r="B35" s="81">
        <v>1.35</v>
      </c>
      <c r="C35" s="83">
        <v>7.9084100000000004E-2</v>
      </c>
      <c r="D35" s="83">
        <v>8.5550600000000004E-2</v>
      </c>
      <c r="E35" s="83">
        <v>9.2017100000000004E-2</v>
      </c>
      <c r="F35" s="83">
        <v>9.8483600000000004E-2</v>
      </c>
      <c r="G35" s="83">
        <v>0.1049501</v>
      </c>
    </row>
    <row r="36" spans="2:7" ht="18" customHeight="1" x14ac:dyDescent="0.2">
      <c r="B36" s="81">
        <v>1.5</v>
      </c>
      <c r="C36" s="82">
        <v>8.2317350000000011E-2</v>
      </c>
      <c r="D36" s="82">
        <v>8.9502350000000008E-2</v>
      </c>
      <c r="E36" s="82">
        <v>9.6687350000000019E-2</v>
      </c>
      <c r="F36" s="82">
        <v>0.10387234999999999</v>
      </c>
      <c r="G36" s="82">
        <v>0.11105735</v>
      </c>
    </row>
  </sheetData>
  <mergeCells count="7">
    <mergeCell ref="B23:E23"/>
    <mergeCell ref="B30:G30"/>
    <mergeCell ref="B1:F1"/>
    <mergeCell ref="B2:F2"/>
    <mergeCell ref="B4:E4"/>
    <mergeCell ref="B12:E12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8" customWidth="1"/>
    <col min="3" max="7" width="16" customWidth="1"/>
  </cols>
  <sheetData>
    <row r="1" spans="2:7" ht="27.75" customHeight="1" x14ac:dyDescent="0.25">
      <c r="B1" s="1" t="s">
        <v>57</v>
      </c>
      <c r="C1" s="1"/>
      <c r="D1" s="1"/>
      <c r="E1" s="1"/>
      <c r="F1" s="1"/>
      <c r="G1" s="1"/>
    </row>
    <row r="3" spans="2:7" ht="19.5" customHeight="1" x14ac:dyDescent="0.25">
      <c r="B3" s="22" t="s">
        <v>58</v>
      </c>
      <c r="C3" s="22"/>
      <c r="D3" s="22"/>
      <c r="E3" s="22"/>
      <c r="F3" s="22"/>
    </row>
    <row r="4" spans="2:7" ht="18" customHeight="1" x14ac:dyDescent="0.25"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</row>
    <row r="5" spans="2:7" ht="18" customHeight="1" x14ac:dyDescent="0.25">
      <c r="B5" s="6" t="s">
        <v>166</v>
      </c>
      <c r="C5" s="9">
        <f>'Peer Comparison'!X17</f>
        <v>6.5949999999999998</v>
      </c>
      <c r="D5" s="9">
        <f>'Peer Comparison'!X19</f>
        <v>19.703499999999998</v>
      </c>
      <c r="E5" s="9">
        <f>'Peer Comparison'!X20</f>
        <v>184.715</v>
      </c>
      <c r="F5" s="10"/>
    </row>
    <row r="6" spans="2:7" ht="18" customHeight="1" x14ac:dyDescent="0.25">
      <c r="B6" s="4" t="s">
        <v>167</v>
      </c>
      <c r="C6" s="11">
        <f>'Peer Comparison'!V17</f>
        <v>0.495</v>
      </c>
      <c r="D6" s="11">
        <f>'Peer Comparison'!V19</f>
        <v>6.407</v>
      </c>
      <c r="E6" s="11">
        <f>'Peer Comparison'!V20</f>
        <v>31.672999999999998</v>
      </c>
      <c r="F6" s="12"/>
    </row>
    <row r="7" spans="2:7" ht="18" customHeight="1" x14ac:dyDescent="0.25">
      <c r="B7" s="6" t="s">
        <v>66</v>
      </c>
      <c r="C7" s="9">
        <f>'Peer Comparison'!Z17</f>
        <v>11.233000000000001</v>
      </c>
      <c r="D7" s="9">
        <f>'Peer Comparison'!Z19</f>
        <v>21.018000000000001</v>
      </c>
      <c r="E7" s="9">
        <f>'Peer Comparison'!Z20</f>
        <v>135.99</v>
      </c>
      <c r="F7" s="10" t="s">
        <v>67</v>
      </c>
    </row>
    <row r="9" spans="2:7" ht="7.5" customHeight="1" x14ac:dyDescent="0.25"/>
    <row r="10" spans="2:7" ht="19.5" customHeight="1" x14ac:dyDescent="0.25">
      <c r="B10" s="22" t="s">
        <v>68</v>
      </c>
      <c r="C10" s="22"/>
      <c r="D10" s="22"/>
      <c r="E10" s="22"/>
      <c r="F10" s="22"/>
    </row>
    <row r="11" spans="2:7" ht="18" customHeight="1" x14ac:dyDescent="0.25"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</row>
    <row r="12" spans="2:7" ht="18" customHeight="1" x14ac:dyDescent="0.25">
      <c r="B12" s="6" t="s">
        <v>69</v>
      </c>
      <c r="C12" s="9">
        <v>12</v>
      </c>
      <c r="D12" s="9">
        <v>20</v>
      </c>
      <c r="E12" s="9">
        <v>38</v>
      </c>
      <c r="F12" s="10" t="s">
        <v>70</v>
      </c>
    </row>
    <row r="13" spans="2:7" ht="18" customHeight="1" x14ac:dyDescent="0.25">
      <c r="B13" s="4" t="s">
        <v>71</v>
      </c>
      <c r="C13" s="11">
        <v>3.5</v>
      </c>
      <c r="D13" s="11">
        <v>7.5</v>
      </c>
      <c r="E13" s="11">
        <v>25</v>
      </c>
      <c r="F13" s="12" t="s">
        <v>72</v>
      </c>
    </row>
    <row r="14" spans="2:7" ht="18" customHeight="1" x14ac:dyDescent="0.25">
      <c r="B14" s="6" t="s">
        <v>73</v>
      </c>
      <c r="C14" s="9">
        <v>22</v>
      </c>
      <c r="D14" s="9">
        <v>35</v>
      </c>
      <c r="E14" s="9">
        <v>65</v>
      </c>
      <c r="F14" s="10" t="s">
        <v>74</v>
      </c>
    </row>
    <row r="17" spans="2:5" ht="15" customHeight="1" x14ac:dyDescent="0.25">
      <c r="B17" s="13" t="s">
        <v>75</v>
      </c>
      <c r="C17" s="13" t="s">
        <v>60</v>
      </c>
      <c r="D17" s="13" t="s">
        <v>61</v>
      </c>
      <c r="E17" s="13" t="s">
        <v>62</v>
      </c>
    </row>
    <row r="18" spans="2:5" ht="15" customHeight="1" x14ac:dyDescent="0.25">
      <c r="B18" t="s">
        <v>64</v>
      </c>
      <c r="C18">
        <v>10</v>
      </c>
      <c r="D18">
        <v>16.5</v>
      </c>
      <c r="E18">
        <v>28</v>
      </c>
    </row>
    <row r="19" spans="2:5" ht="15" customHeight="1" x14ac:dyDescent="0.25">
      <c r="B19" t="s">
        <v>65</v>
      </c>
      <c r="C19">
        <v>2.5</v>
      </c>
      <c r="D19">
        <v>5.8</v>
      </c>
      <c r="E19">
        <v>18</v>
      </c>
    </row>
    <row r="20" spans="2:5" ht="15" customHeight="1" x14ac:dyDescent="0.25">
      <c r="B20" t="s">
        <v>66</v>
      </c>
      <c r="C20">
        <v>18</v>
      </c>
      <c r="D20">
        <v>28.5</v>
      </c>
      <c r="E20">
        <v>55</v>
      </c>
    </row>
  </sheetData>
  <mergeCells count="3">
    <mergeCell ref="B1:G1"/>
    <mergeCell ref="B3:F3"/>
    <mergeCell ref="B10:F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5"/>
  <sheetViews>
    <sheetView showGridLines="0" zoomScaleNormal="100" workbookViewId="0">
      <selection activeCell="G21" sqref="G21"/>
    </sheetView>
  </sheetViews>
  <sheetFormatPr defaultColWidth="8.7109375" defaultRowHeight="15" x14ac:dyDescent="0.25"/>
  <cols>
    <col min="1" max="1" width="2" customWidth="1"/>
    <col min="2" max="2" width="26" customWidth="1"/>
    <col min="3" max="10" width="14" customWidth="1"/>
  </cols>
  <sheetData>
    <row r="1" spans="2:13" ht="27.75" customHeight="1" x14ac:dyDescent="0.25">
      <c r="B1" s="1" t="s">
        <v>76</v>
      </c>
      <c r="C1" s="1"/>
      <c r="D1" s="1"/>
      <c r="E1" s="1"/>
      <c r="F1" s="1"/>
      <c r="G1" s="1"/>
      <c r="H1" s="1"/>
      <c r="I1" s="1"/>
      <c r="J1" s="1"/>
    </row>
    <row r="3" spans="2:13" ht="19.5" customHeight="1" x14ac:dyDescent="0.25">
      <c r="B3" s="22" t="s">
        <v>77</v>
      </c>
      <c r="C3" s="22"/>
      <c r="D3" s="22"/>
      <c r="E3" s="22"/>
      <c r="F3" s="22"/>
      <c r="G3" s="22"/>
      <c r="H3" s="22"/>
      <c r="I3" s="22"/>
    </row>
    <row r="4" spans="2:13" ht="18" customHeight="1" x14ac:dyDescent="0.25"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63</v>
      </c>
    </row>
    <row r="5" spans="2:13" ht="18" customHeight="1" x14ac:dyDescent="0.25">
      <c r="B5" s="6" t="s">
        <v>84</v>
      </c>
      <c r="C5" s="14">
        <v>2.8</v>
      </c>
      <c r="D5" s="7">
        <v>0.11799999999999999</v>
      </c>
      <c r="E5" s="15">
        <f>C5</f>
        <v>2.8</v>
      </c>
      <c r="F5" s="15">
        <f>C5*(1+D5)^5</f>
        <v>4.8906552420811886</v>
      </c>
      <c r="G5" s="8">
        <f>C5/SUM($C$5:$C$7)</f>
        <v>2.393162393162393E-2</v>
      </c>
      <c r="H5" s="10" t="s">
        <v>85</v>
      </c>
    </row>
    <row r="6" spans="2:13" ht="18" customHeight="1" x14ac:dyDescent="0.25">
      <c r="B6" s="4" t="s">
        <v>86</v>
      </c>
      <c r="C6" s="16">
        <v>4.2</v>
      </c>
      <c r="D6" s="5">
        <v>8.5000000000000006E-2</v>
      </c>
      <c r="E6" s="17">
        <f>C6</f>
        <v>4.2</v>
      </c>
      <c r="F6" s="17">
        <f>C6*(1+D6)^5</f>
        <v>6.3153580987481241</v>
      </c>
      <c r="G6" s="18">
        <f>C6/SUM($C$5:$C$7)</f>
        <v>3.5897435897435902E-2</v>
      </c>
      <c r="H6" s="12" t="s">
        <v>87</v>
      </c>
    </row>
    <row r="7" spans="2:13" ht="18" customHeight="1" x14ac:dyDescent="0.25">
      <c r="B7" s="6" t="s">
        <v>88</v>
      </c>
      <c r="C7" s="14">
        <v>110</v>
      </c>
      <c r="D7" s="7">
        <v>7.1999999999999995E-2</v>
      </c>
      <c r="E7" s="15">
        <f>C7</f>
        <v>110</v>
      </c>
      <c r="F7" s="15">
        <f>C7*(1+D7)^5</f>
        <v>155.7279662617396</v>
      </c>
      <c r="G7" s="8">
        <f>C7/SUM($C$5:$C$7)</f>
        <v>0.94017094017094016</v>
      </c>
      <c r="H7" s="10" t="s">
        <v>89</v>
      </c>
    </row>
    <row r="8" spans="2:13" ht="19.5" customHeight="1" x14ac:dyDescent="0.25">
      <c r="B8" s="2" t="s">
        <v>90</v>
      </c>
      <c r="C8" s="19">
        <f>SUM(C5:C7)</f>
        <v>117</v>
      </c>
      <c r="D8" s="20"/>
      <c r="E8" s="19">
        <f>SUM(E5:E7)</f>
        <v>117</v>
      </c>
      <c r="F8" s="19">
        <f>SUM(F5:F7)</f>
        <v>166.93397960256891</v>
      </c>
      <c r="G8" s="21" t="s">
        <v>91</v>
      </c>
      <c r="H8" s="20"/>
    </row>
    <row r="11" spans="2:13" ht="19.5" customHeight="1" x14ac:dyDescent="0.25">
      <c r="G11" s="23" t="s">
        <v>92</v>
      </c>
      <c r="H11" s="23"/>
      <c r="I11" s="23"/>
      <c r="J11" s="23"/>
    </row>
    <row r="12" spans="2:13" ht="18" customHeight="1" x14ac:dyDescent="0.25">
      <c r="G12" s="2" t="s">
        <v>78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98</v>
      </c>
    </row>
    <row r="13" spans="2:13" ht="18" customHeight="1" x14ac:dyDescent="0.25">
      <c r="G13" s="6" t="s">
        <v>84</v>
      </c>
      <c r="H13" s="15">
        <f>C5*(1+D5)^0</f>
        <v>2.8</v>
      </c>
      <c r="I13" s="15">
        <f>C5*(1+D5)^1</f>
        <v>3.1303999999999994</v>
      </c>
      <c r="J13" s="15">
        <f>C5*(1+D5)^2</f>
        <v>3.4997871999999992</v>
      </c>
      <c r="K13" s="15">
        <f>C5*(1+D5)^3</f>
        <v>3.9127620895999988</v>
      </c>
      <c r="L13" s="15">
        <f>C5*(1+D5)^4</f>
        <v>4.3744680161727985</v>
      </c>
      <c r="M13" s="15">
        <f>C5*(1+D5)^5</f>
        <v>4.8906552420811886</v>
      </c>
    </row>
    <row r="14" spans="2:13" ht="18" customHeight="1" x14ac:dyDescent="0.25">
      <c r="G14" s="4" t="s">
        <v>86</v>
      </c>
      <c r="H14" s="17">
        <f>C6*(1+D6)^0</f>
        <v>4.2</v>
      </c>
      <c r="I14" s="17">
        <f>C6*(1+D6)^1</f>
        <v>4.5570000000000004</v>
      </c>
      <c r="J14" s="17">
        <f>C6*(1+D6)^2</f>
        <v>4.9443450000000002</v>
      </c>
      <c r="K14" s="17">
        <f>C6*(1+D6)^3</f>
        <v>5.3646143250000007</v>
      </c>
      <c r="L14" s="17">
        <f>C6*(1+D6)^4</f>
        <v>5.8206065426249998</v>
      </c>
      <c r="M14" s="17">
        <f>C6*(1+D6)^5</f>
        <v>6.3153580987481241</v>
      </c>
    </row>
    <row r="15" spans="2:13" ht="18" customHeight="1" x14ac:dyDescent="0.25">
      <c r="G15" s="6" t="s">
        <v>88</v>
      </c>
      <c r="H15" s="15">
        <f>C7*(1+D7)^0</f>
        <v>110</v>
      </c>
      <c r="I15" s="15">
        <f>C7*(1+D7)^1</f>
        <v>117.92</v>
      </c>
      <c r="J15" s="15">
        <f>C7*(1+D7)^2</f>
        <v>126.41024000000002</v>
      </c>
      <c r="K15" s="15">
        <f>C7*(1+D7)^3</f>
        <v>135.51177728000002</v>
      </c>
      <c r="L15" s="15">
        <f>C7*(1+D7)^4</f>
        <v>145.26862524416006</v>
      </c>
      <c r="M15" s="15">
        <f>C7*(1+D7)^5</f>
        <v>155.7279662617396</v>
      </c>
    </row>
  </sheetData>
  <mergeCells count="3">
    <mergeCell ref="B1:J1"/>
    <mergeCell ref="B3:I3"/>
    <mergeCell ref="G11:J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5568-5292-4FB9-8830-54E2F12682D6}">
  <dimension ref="B1:AF21"/>
  <sheetViews>
    <sheetView zoomScaleNormal="100" workbookViewId="0">
      <selection activeCell="AB21" sqref="AB21"/>
    </sheetView>
  </sheetViews>
  <sheetFormatPr defaultRowHeight="15" x14ac:dyDescent="0.25"/>
  <cols>
    <col min="4" max="4" width="23" customWidth="1"/>
  </cols>
  <sheetData>
    <row r="1" spans="2:32" ht="18" x14ac:dyDescent="0.25">
      <c r="B1" s="24" t="s">
        <v>99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2:32" x14ac:dyDescent="0.25">
      <c r="B2" s="25" t="s">
        <v>106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2:32" x14ac:dyDescent="0.25">
      <c r="B3" s="26" t="s">
        <v>107</v>
      </c>
      <c r="C3" s="26"/>
      <c r="D3" s="26"/>
      <c r="E3" s="26"/>
      <c r="F3" s="26"/>
      <c r="G3" s="26"/>
      <c r="H3" s="26" t="s">
        <v>108</v>
      </c>
      <c r="I3" s="26"/>
      <c r="J3" s="26"/>
      <c r="K3" s="26"/>
      <c r="L3" s="26"/>
      <c r="M3" s="26"/>
      <c r="N3" s="26"/>
      <c r="O3" s="26" t="s">
        <v>109</v>
      </c>
      <c r="P3" s="26"/>
      <c r="Q3" s="26"/>
      <c r="R3" s="26"/>
      <c r="S3" s="26"/>
      <c r="T3" s="26"/>
      <c r="U3" s="26" t="s">
        <v>110</v>
      </c>
      <c r="V3" s="26"/>
      <c r="W3" s="26"/>
      <c r="X3" s="26"/>
      <c r="Y3" s="26"/>
      <c r="Z3" s="26"/>
    </row>
    <row r="4" spans="2:32" ht="36" x14ac:dyDescent="0.25">
      <c r="B4" s="27" t="s">
        <v>100</v>
      </c>
      <c r="C4" s="27" t="s">
        <v>101</v>
      </c>
      <c r="D4" s="27" t="s">
        <v>111</v>
      </c>
      <c r="E4" s="27" t="s">
        <v>112</v>
      </c>
      <c r="F4" s="27" t="s">
        <v>113</v>
      </c>
      <c r="G4" s="27" t="s">
        <v>114</v>
      </c>
      <c r="H4" s="27" t="s">
        <v>115</v>
      </c>
      <c r="I4" s="27" t="s">
        <v>116</v>
      </c>
      <c r="J4" s="27" t="s">
        <v>117</v>
      </c>
      <c r="K4" s="27" t="s">
        <v>118</v>
      </c>
      <c r="L4" s="27" t="s">
        <v>119</v>
      </c>
      <c r="M4" s="27" t="s">
        <v>120</v>
      </c>
      <c r="N4" s="27" t="s">
        <v>121</v>
      </c>
      <c r="O4" s="27" t="s">
        <v>122</v>
      </c>
      <c r="P4" s="27" t="s">
        <v>123</v>
      </c>
      <c r="Q4" s="27" t="s">
        <v>124</v>
      </c>
      <c r="R4" s="27" t="s">
        <v>125</v>
      </c>
      <c r="S4" s="27" t="s">
        <v>126</v>
      </c>
      <c r="T4" s="27" t="s">
        <v>127</v>
      </c>
      <c r="U4" s="27" t="s">
        <v>128</v>
      </c>
      <c r="V4" s="27" t="s">
        <v>129</v>
      </c>
      <c r="W4" s="27" t="s">
        <v>130</v>
      </c>
      <c r="X4" s="27" t="s">
        <v>131</v>
      </c>
      <c r="Y4" s="27" t="s">
        <v>132</v>
      </c>
      <c r="Z4" s="27" t="s">
        <v>133</v>
      </c>
      <c r="AA4" s="27" t="s">
        <v>168</v>
      </c>
      <c r="AB4" s="27" t="s">
        <v>169</v>
      </c>
      <c r="AC4" s="27" t="s">
        <v>130</v>
      </c>
      <c r="AD4" s="27" t="s">
        <v>131</v>
      </c>
      <c r="AE4" s="27" t="s">
        <v>132</v>
      </c>
      <c r="AF4" s="27" t="s">
        <v>133</v>
      </c>
    </row>
    <row r="5" spans="2:32" ht="24" x14ac:dyDescent="0.25">
      <c r="B5" s="28" t="s">
        <v>134</v>
      </c>
      <c r="C5" s="28" t="s">
        <v>135</v>
      </c>
      <c r="D5" s="29" t="s">
        <v>136</v>
      </c>
      <c r="E5" s="30">
        <v>32</v>
      </c>
      <c r="F5" s="31">
        <v>18400</v>
      </c>
      <c r="G5" s="31">
        <v>17497</v>
      </c>
      <c r="H5" s="31">
        <v>2731</v>
      </c>
      <c r="I5" s="31">
        <v>3865</v>
      </c>
      <c r="J5" s="31">
        <v>2731</v>
      </c>
      <c r="K5" s="31">
        <v>-97</v>
      </c>
      <c r="L5" s="31">
        <v>166</v>
      </c>
      <c r="M5" s="31">
        <v>-241</v>
      </c>
      <c r="N5" s="31">
        <v>24</v>
      </c>
      <c r="O5" s="32">
        <v>0.41520000000000001</v>
      </c>
      <c r="P5" s="32">
        <v>-0.29339999999999999</v>
      </c>
      <c r="Q5" s="32">
        <v>-2.5100000000000001E-2</v>
      </c>
      <c r="R5" s="32">
        <v>6.08E-2</v>
      </c>
      <c r="S5" s="32">
        <v>-6.2399999999999997E-2</v>
      </c>
      <c r="T5" s="32">
        <v>8.8000000000000005E-3</v>
      </c>
      <c r="U5" s="33">
        <v>4.5270000000000001</v>
      </c>
      <c r="V5" s="33">
        <v>6.407</v>
      </c>
      <c r="W5" s="34" t="s">
        <v>137</v>
      </c>
      <c r="X5" s="33">
        <v>105.404</v>
      </c>
      <c r="Y5" s="34" t="s">
        <v>137</v>
      </c>
      <c r="Z5" s="33">
        <v>766.66700000000003</v>
      </c>
    </row>
    <row r="6" spans="2:32" ht="36" x14ac:dyDescent="0.25">
      <c r="B6" s="35" t="s">
        <v>138</v>
      </c>
      <c r="C6" s="35" t="s">
        <v>139</v>
      </c>
      <c r="D6" s="36" t="s">
        <v>140</v>
      </c>
      <c r="E6" s="37">
        <v>158.94</v>
      </c>
      <c r="F6" s="38">
        <v>205798.81</v>
      </c>
      <c r="G6" s="38">
        <v>205218.81</v>
      </c>
      <c r="H6" s="38">
        <v>5600</v>
      </c>
      <c r="I6" s="38">
        <v>7060</v>
      </c>
      <c r="J6" s="38">
        <v>8880</v>
      </c>
      <c r="K6" s="38">
        <v>-1348</v>
      </c>
      <c r="L6" s="38">
        <v>1111</v>
      </c>
      <c r="M6" s="38">
        <v>132</v>
      </c>
      <c r="N6" s="38">
        <v>2019</v>
      </c>
      <c r="O6" s="39">
        <v>0.26069999999999999</v>
      </c>
      <c r="P6" s="39">
        <v>0.25779999999999997</v>
      </c>
      <c r="Q6" s="39">
        <v>-0.19089999999999999</v>
      </c>
      <c r="R6" s="39">
        <v>0.12509999999999999</v>
      </c>
      <c r="S6" s="39">
        <v>1.8700000000000001E-2</v>
      </c>
      <c r="T6" s="39">
        <v>0.22739999999999999</v>
      </c>
      <c r="U6" s="40">
        <v>29.068000000000001</v>
      </c>
      <c r="V6" s="40">
        <v>23.11</v>
      </c>
      <c r="W6" s="41" t="s">
        <v>137</v>
      </c>
      <c r="X6" s="40">
        <v>184.715</v>
      </c>
      <c r="Y6" s="40">
        <v>1559.0820000000001</v>
      </c>
      <c r="Z6" s="40">
        <v>101.931</v>
      </c>
    </row>
    <row r="7" spans="2:32" ht="24" x14ac:dyDescent="0.25">
      <c r="B7" s="28" t="s">
        <v>141</v>
      </c>
      <c r="C7" s="28" t="s">
        <v>142</v>
      </c>
      <c r="D7" s="29" t="s">
        <v>143</v>
      </c>
      <c r="E7" s="30">
        <v>654.32000000000005</v>
      </c>
      <c r="F7" s="31">
        <v>183400.66</v>
      </c>
      <c r="G7" s="31">
        <v>186489.66</v>
      </c>
      <c r="H7" s="31">
        <v>12726</v>
      </c>
      <c r="I7" s="31">
        <v>14368</v>
      </c>
      <c r="J7" s="31">
        <v>16285</v>
      </c>
      <c r="K7" s="31">
        <v>3934</v>
      </c>
      <c r="L7" s="31">
        <v>4148</v>
      </c>
      <c r="M7" s="31">
        <v>2384</v>
      </c>
      <c r="N7" s="31">
        <v>2963</v>
      </c>
      <c r="O7" s="32">
        <v>0.129</v>
      </c>
      <c r="P7" s="32">
        <v>0.13339999999999999</v>
      </c>
      <c r="Q7" s="32">
        <v>0.27379999999999999</v>
      </c>
      <c r="R7" s="32">
        <v>0.25469999999999998</v>
      </c>
      <c r="S7" s="32">
        <v>0.16589999999999999</v>
      </c>
      <c r="T7" s="32">
        <v>0.18190000000000001</v>
      </c>
      <c r="U7" s="33">
        <v>12.98</v>
      </c>
      <c r="V7" s="33">
        <v>11.452</v>
      </c>
      <c r="W7" s="33">
        <v>47.405000000000001</v>
      </c>
      <c r="X7" s="33">
        <v>44.959000000000003</v>
      </c>
      <c r="Y7" s="33">
        <v>76.930000000000007</v>
      </c>
      <c r="Z7" s="33">
        <v>61.896999999999998</v>
      </c>
    </row>
    <row r="8" spans="2:32" ht="24" x14ac:dyDescent="0.25">
      <c r="B8" s="35" t="s">
        <v>144</v>
      </c>
      <c r="C8" s="35" t="s">
        <v>145</v>
      </c>
      <c r="D8" s="36" t="s">
        <v>146</v>
      </c>
      <c r="E8" s="37">
        <v>271.26</v>
      </c>
      <c r="F8" s="38">
        <v>90627.97</v>
      </c>
      <c r="G8" s="38">
        <v>88875.5</v>
      </c>
      <c r="H8" s="38">
        <v>1219</v>
      </c>
      <c r="I8" s="38">
        <v>2066</v>
      </c>
      <c r="J8" s="38">
        <v>2806</v>
      </c>
      <c r="K8" s="38">
        <v>-778.7</v>
      </c>
      <c r="L8" s="38">
        <v>-974.9</v>
      </c>
      <c r="M8" s="38">
        <v>-798</v>
      </c>
      <c r="N8" s="38">
        <v>-838</v>
      </c>
      <c r="O8" s="39">
        <v>0.69479999999999997</v>
      </c>
      <c r="P8" s="39">
        <v>0.35820000000000002</v>
      </c>
      <c r="Q8" s="39">
        <v>-0.37690000000000001</v>
      </c>
      <c r="R8" s="39">
        <v>-0.34739999999999999</v>
      </c>
      <c r="S8" s="39">
        <v>-0.38629999999999998</v>
      </c>
      <c r="T8" s="39">
        <v>-0.29859999999999998</v>
      </c>
      <c r="U8" s="40">
        <v>43.018000000000001</v>
      </c>
      <c r="V8" s="40">
        <v>31.672999999999998</v>
      </c>
      <c r="W8" s="41" t="s">
        <v>137</v>
      </c>
      <c r="X8" s="41" t="s">
        <v>137</v>
      </c>
      <c r="Y8" s="41" t="s">
        <v>137</v>
      </c>
      <c r="Z8" s="41" t="s">
        <v>137</v>
      </c>
    </row>
    <row r="9" spans="2:32" ht="36" x14ac:dyDescent="0.25">
      <c r="B9" s="28" t="s">
        <v>147</v>
      </c>
      <c r="C9" s="28" t="s">
        <v>102</v>
      </c>
      <c r="D9" s="29" t="s">
        <v>148</v>
      </c>
      <c r="E9" s="30">
        <v>67.400000000000006</v>
      </c>
      <c r="F9" s="31">
        <v>66674.94</v>
      </c>
      <c r="G9" s="31">
        <v>68955.94</v>
      </c>
      <c r="H9" s="31">
        <v>27518</v>
      </c>
      <c r="I9" s="31">
        <v>29771</v>
      </c>
      <c r="J9" s="31">
        <v>31797</v>
      </c>
      <c r="K9" s="31">
        <v>6100</v>
      </c>
      <c r="L9" s="31">
        <v>6357</v>
      </c>
      <c r="M9" s="31">
        <v>4246</v>
      </c>
      <c r="N9" s="31">
        <v>4147</v>
      </c>
      <c r="O9" s="32">
        <v>8.1900000000000001E-2</v>
      </c>
      <c r="P9" s="32">
        <v>6.8099999999999994E-2</v>
      </c>
      <c r="Q9" s="32">
        <v>0.2049</v>
      </c>
      <c r="R9" s="32">
        <v>0.19989999999999999</v>
      </c>
      <c r="S9" s="32">
        <v>0.1426</v>
      </c>
      <c r="T9" s="32">
        <v>0.13039999999999999</v>
      </c>
      <c r="U9" s="33">
        <v>2.3159999999999998</v>
      </c>
      <c r="V9" s="33">
        <v>2.169</v>
      </c>
      <c r="W9" s="33">
        <v>11.304</v>
      </c>
      <c r="X9" s="33">
        <v>10.847</v>
      </c>
      <c r="Y9" s="33">
        <v>15.702999999999999</v>
      </c>
      <c r="Z9" s="33">
        <v>16.077999999999999</v>
      </c>
    </row>
    <row r="10" spans="2:32" ht="36" x14ac:dyDescent="0.25">
      <c r="B10" s="42" t="s">
        <v>149</v>
      </c>
      <c r="C10" s="42" t="s">
        <v>150</v>
      </c>
      <c r="D10" s="43" t="s">
        <v>151</v>
      </c>
      <c r="E10" s="44">
        <v>64.260000000000005</v>
      </c>
      <c r="F10" s="45">
        <v>36068.43</v>
      </c>
      <c r="G10" s="45">
        <v>59672.43</v>
      </c>
      <c r="H10" s="45">
        <v>17737</v>
      </c>
      <c r="I10" s="45">
        <v>19093</v>
      </c>
      <c r="J10" s="45">
        <v>20456</v>
      </c>
      <c r="K10" s="45">
        <v>8176</v>
      </c>
      <c r="L10" s="45">
        <v>9048</v>
      </c>
      <c r="M10" s="45">
        <v>3129</v>
      </c>
      <c r="N10" s="45">
        <v>3211</v>
      </c>
      <c r="O10" s="46">
        <v>7.6499999999999999E-2</v>
      </c>
      <c r="P10" s="46">
        <v>7.1400000000000005E-2</v>
      </c>
      <c r="Q10" s="46">
        <v>0.42820000000000003</v>
      </c>
      <c r="R10" s="46">
        <v>0.44230000000000003</v>
      </c>
      <c r="S10" s="46">
        <v>0.16389999999999999</v>
      </c>
      <c r="T10" s="46">
        <v>0.157</v>
      </c>
      <c r="U10" s="47">
        <v>3.125</v>
      </c>
      <c r="V10" s="47">
        <v>2.9169999999999998</v>
      </c>
      <c r="W10" s="47">
        <v>7.298</v>
      </c>
      <c r="X10" s="47">
        <v>6.5949999999999998</v>
      </c>
      <c r="Y10" s="47">
        <v>11.526999999999999</v>
      </c>
      <c r="Z10" s="47">
        <v>11.233000000000001</v>
      </c>
    </row>
    <row r="11" spans="2:32" ht="24" x14ac:dyDescent="0.25">
      <c r="B11" s="28" t="s">
        <v>152</v>
      </c>
      <c r="C11" s="28" t="s">
        <v>104</v>
      </c>
      <c r="D11" s="29" t="s">
        <v>153</v>
      </c>
      <c r="E11" s="30">
        <v>30.95</v>
      </c>
      <c r="F11" s="31">
        <v>33937.919999999998</v>
      </c>
      <c r="G11" s="31">
        <v>35100.92</v>
      </c>
      <c r="H11" s="31">
        <v>1574</v>
      </c>
      <c r="I11" s="31">
        <v>2124</v>
      </c>
      <c r="J11" s="31">
        <v>2677</v>
      </c>
      <c r="K11" s="31">
        <v>-298.5</v>
      </c>
      <c r="L11" s="31">
        <v>235.6</v>
      </c>
      <c r="M11" s="31">
        <v>-535</v>
      </c>
      <c r="N11" s="31">
        <v>249.6</v>
      </c>
      <c r="O11" s="32">
        <v>0.34939999999999999</v>
      </c>
      <c r="P11" s="32">
        <v>0.26040000000000002</v>
      </c>
      <c r="Q11" s="32">
        <v>-0.14050000000000001</v>
      </c>
      <c r="R11" s="32">
        <v>8.7999999999999995E-2</v>
      </c>
      <c r="S11" s="32">
        <v>-0.25190000000000001</v>
      </c>
      <c r="T11" s="32">
        <v>9.3200000000000005E-2</v>
      </c>
      <c r="U11" s="33">
        <v>16.526</v>
      </c>
      <c r="V11" s="33">
        <v>13.112</v>
      </c>
      <c r="W11" s="34" t="s">
        <v>137</v>
      </c>
      <c r="X11" s="33">
        <v>149.00899999999999</v>
      </c>
      <c r="Y11" s="34" t="s">
        <v>137</v>
      </c>
      <c r="Z11" s="33">
        <v>135.99</v>
      </c>
    </row>
    <row r="12" spans="2:32" ht="24" x14ac:dyDescent="0.25">
      <c r="B12" s="35" t="s">
        <v>154</v>
      </c>
      <c r="C12" s="35" t="s">
        <v>155</v>
      </c>
      <c r="D12" s="36" t="s">
        <v>156</v>
      </c>
      <c r="E12" s="37">
        <v>75.14</v>
      </c>
      <c r="F12" s="38">
        <v>24469.360000000001</v>
      </c>
      <c r="G12" s="38">
        <v>29530.58</v>
      </c>
      <c r="H12" s="38">
        <v>1349</v>
      </c>
      <c r="I12" s="38">
        <v>1587</v>
      </c>
      <c r="J12" s="38">
        <v>2322</v>
      </c>
      <c r="K12" s="38">
        <v>515.79999999999995</v>
      </c>
      <c r="L12" s="38">
        <v>1034</v>
      </c>
      <c r="M12" s="38">
        <v>-985</v>
      </c>
      <c r="N12" s="38">
        <v>-518</v>
      </c>
      <c r="O12" s="39">
        <v>0.17630000000000001</v>
      </c>
      <c r="P12" s="39">
        <v>0.46310000000000001</v>
      </c>
      <c r="Q12" s="39">
        <v>0.32500000000000001</v>
      </c>
      <c r="R12" s="39">
        <v>0.44529999999999997</v>
      </c>
      <c r="S12" s="39">
        <v>-0.62070000000000003</v>
      </c>
      <c r="T12" s="39">
        <v>-0.22309999999999999</v>
      </c>
      <c r="U12" s="40">
        <v>18.608000000000001</v>
      </c>
      <c r="V12" s="40">
        <v>12.718</v>
      </c>
      <c r="W12" s="40">
        <v>57.256999999999998</v>
      </c>
      <c r="X12" s="40">
        <v>28.56</v>
      </c>
      <c r="Y12" s="41" t="s">
        <v>137</v>
      </c>
      <c r="Z12" s="41" t="s">
        <v>137</v>
      </c>
    </row>
    <row r="13" spans="2:32" ht="36" x14ac:dyDescent="0.25">
      <c r="B13" s="28" t="s">
        <v>84</v>
      </c>
      <c r="C13" s="28" t="s">
        <v>157</v>
      </c>
      <c r="D13" s="29" t="s">
        <v>158</v>
      </c>
      <c r="E13" s="30">
        <v>77.23</v>
      </c>
      <c r="F13" s="31">
        <v>19123.400000000001</v>
      </c>
      <c r="G13" s="31">
        <v>32987.4</v>
      </c>
      <c r="H13" s="31">
        <v>8976</v>
      </c>
      <c r="I13" s="31">
        <v>9654</v>
      </c>
      <c r="J13" s="31">
        <v>10106</v>
      </c>
      <c r="K13" s="31">
        <v>3685</v>
      </c>
      <c r="L13" s="31">
        <v>4404</v>
      </c>
      <c r="M13" s="31">
        <v>987</v>
      </c>
      <c r="N13" s="31">
        <v>1571</v>
      </c>
      <c r="O13" s="32">
        <v>7.5600000000000001E-2</v>
      </c>
      <c r="P13" s="32">
        <v>4.6800000000000001E-2</v>
      </c>
      <c r="Q13" s="32">
        <v>0.38179999999999997</v>
      </c>
      <c r="R13" s="32">
        <v>0.43580000000000002</v>
      </c>
      <c r="S13" s="32">
        <v>0.1022</v>
      </c>
      <c r="T13" s="32">
        <v>0.1555</v>
      </c>
      <c r="U13" s="33">
        <v>3.419</v>
      </c>
      <c r="V13" s="33">
        <v>3.2650000000000001</v>
      </c>
      <c r="W13" s="33">
        <v>8.9529999999999994</v>
      </c>
      <c r="X13" s="33">
        <v>7.4909999999999997</v>
      </c>
      <c r="Y13" s="33">
        <v>34.052999999999997</v>
      </c>
      <c r="Z13" s="33">
        <v>21.018000000000001</v>
      </c>
    </row>
    <row r="14" spans="2:32" ht="36" x14ac:dyDescent="0.25">
      <c r="B14" s="35" t="s">
        <v>103</v>
      </c>
      <c r="C14" s="35" t="s">
        <v>159</v>
      </c>
      <c r="D14" s="36" t="s">
        <v>160</v>
      </c>
      <c r="E14" s="37">
        <v>74.540000000000006</v>
      </c>
      <c r="F14" s="38">
        <v>46176.04</v>
      </c>
      <c r="G14" s="38">
        <v>11932.91</v>
      </c>
      <c r="H14" s="38">
        <v>17532</v>
      </c>
      <c r="I14" s="38">
        <v>21916</v>
      </c>
      <c r="J14" s="38">
        <v>24121</v>
      </c>
      <c r="K14" s="38">
        <v>-32</v>
      </c>
      <c r="L14" s="38">
        <v>1115.4000000000001</v>
      </c>
      <c r="M14" s="38">
        <v>-21.1</v>
      </c>
      <c r="N14" s="38">
        <v>2866.5</v>
      </c>
      <c r="O14" s="39">
        <v>0.25</v>
      </c>
      <c r="P14" s="39">
        <v>0.1007</v>
      </c>
      <c r="Q14" s="39">
        <v>-1.5E-3</v>
      </c>
      <c r="R14" s="39">
        <v>4.6199999999999998E-2</v>
      </c>
      <c r="S14" s="39">
        <v>-1E-3</v>
      </c>
      <c r="T14" s="39">
        <v>0.1188</v>
      </c>
      <c r="U14" s="40">
        <v>0.54500000000000004</v>
      </c>
      <c r="V14" s="40">
        <v>0.495</v>
      </c>
      <c r="W14" s="41" t="s">
        <v>137</v>
      </c>
      <c r="X14" s="40">
        <v>10.698</v>
      </c>
      <c r="Y14" s="41" t="s">
        <v>137</v>
      </c>
      <c r="Z14" s="40">
        <v>16.109000000000002</v>
      </c>
    </row>
    <row r="15" spans="2:32" ht="36" x14ac:dyDescent="0.25">
      <c r="B15" s="28" t="s">
        <v>161</v>
      </c>
      <c r="C15" s="28" t="s">
        <v>162</v>
      </c>
      <c r="D15" s="29" t="s">
        <v>163</v>
      </c>
      <c r="E15" s="30">
        <v>6.23</v>
      </c>
      <c r="F15" s="31">
        <v>2241.89</v>
      </c>
      <c r="G15" s="31">
        <v>1744.42</v>
      </c>
      <c r="H15" s="31">
        <v>628</v>
      </c>
      <c r="I15" s="31">
        <v>831</v>
      </c>
      <c r="J15" s="31">
        <v>978</v>
      </c>
      <c r="K15" s="31">
        <v>131.4</v>
      </c>
      <c r="L15" s="31">
        <v>196.3</v>
      </c>
      <c r="M15" s="31">
        <v>93.3</v>
      </c>
      <c r="N15" s="31">
        <v>121.2</v>
      </c>
      <c r="O15" s="32">
        <v>0.32369999999999999</v>
      </c>
      <c r="P15" s="32">
        <v>0.1764</v>
      </c>
      <c r="Q15" s="32">
        <v>0.158</v>
      </c>
      <c r="R15" s="32">
        <v>0.20080000000000001</v>
      </c>
      <c r="S15" s="32">
        <v>0.1123</v>
      </c>
      <c r="T15" s="32">
        <v>0.1239</v>
      </c>
      <c r="U15" s="33">
        <v>2.0979999999999999</v>
      </c>
      <c r="V15" s="33">
        <v>1.784</v>
      </c>
      <c r="W15" s="33">
        <v>13.27</v>
      </c>
      <c r="X15" s="33">
        <v>8.8859999999999992</v>
      </c>
      <c r="Y15" s="33">
        <v>17.753</v>
      </c>
      <c r="Z15" s="33">
        <v>14.381</v>
      </c>
    </row>
    <row r="17" spans="2:26" x14ac:dyDescent="0.25">
      <c r="B17" s="48" t="s">
        <v>60</v>
      </c>
      <c r="C17" s="49"/>
      <c r="D17" s="50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52"/>
      <c r="Q17" s="52"/>
      <c r="R17" s="52"/>
      <c r="S17" s="52"/>
      <c r="T17" s="52"/>
      <c r="U17" s="53">
        <f>IFERROR(MIN(U3:U15),"-")</f>
        <v>0.54500000000000004</v>
      </c>
      <c r="V17" s="53">
        <f>IFERROR(MIN(V3:V15),"-")</f>
        <v>0.495</v>
      </c>
      <c r="W17" s="53">
        <f>IFERROR(MIN(W3:W15),"-")</f>
        <v>7.298</v>
      </c>
      <c r="X17" s="53">
        <f>IFERROR(MIN(X3:X15),"-")</f>
        <v>6.5949999999999998</v>
      </c>
      <c r="Y17" s="53">
        <f>IFERROR(MIN(Y3:Y15),"-")</f>
        <v>11.526999999999999</v>
      </c>
      <c r="Z17" s="53">
        <f>IFERROR(MIN(Z3:Z15),"-")</f>
        <v>11.233000000000001</v>
      </c>
    </row>
    <row r="18" spans="2:26" x14ac:dyDescent="0.25">
      <c r="B18" s="48" t="s">
        <v>105</v>
      </c>
      <c r="C18" s="49"/>
      <c r="D18" s="50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52"/>
      <c r="Q18" s="52"/>
      <c r="R18" s="52"/>
      <c r="S18" s="52"/>
      <c r="T18" s="52"/>
      <c r="U18" s="53">
        <f>IFERROR(AVERAGEIF(U5:U15,"&lt;&gt;NM",U5:U15),"-")</f>
        <v>12.384545454545457</v>
      </c>
      <c r="V18" s="53">
        <f>IFERROR(AVERAGEIF(V5:V15,"&lt;&gt;NM",V5:V15),"-")</f>
        <v>9.9183636363636367</v>
      </c>
      <c r="W18" s="53">
        <f>IFERROR(AVERAGEIF(W5:W15,"&lt;&gt;NM",W5:W15),"-")</f>
        <v>24.247833333333336</v>
      </c>
      <c r="X18" s="53">
        <f>IFERROR(AVERAGEIF(X5:X15,"&lt;&gt;NM",X5:X15),"-")</f>
        <v>55.716399999999986</v>
      </c>
      <c r="Y18" s="53">
        <f>IFERROR(AVERAGEIF(Y5:Y15,"&lt;&gt;NM",Y5:Y15),"-")</f>
        <v>285.84133333333335</v>
      </c>
      <c r="Z18" s="53">
        <f>IFERROR(AVERAGEIF(Z5:Z15,"&lt;&gt;NM",Z5:Z15),"-")</f>
        <v>127.25600000000001</v>
      </c>
    </row>
    <row r="19" spans="2:26" x14ac:dyDescent="0.25">
      <c r="B19" s="48" t="s">
        <v>61</v>
      </c>
      <c r="C19" s="48"/>
      <c r="D19" s="48"/>
      <c r="E19" s="51" t="s">
        <v>164</v>
      </c>
      <c r="F19" s="51" t="s">
        <v>164</v>
      </c>
      <c r="G19" s="51" t="s">
        <v>164</v>
      </c>
      <c r="H19" s="51" t="s">
        <v>164</v>
      </c>
      <c r="I19" s="51" t="s">
        <v>164</v>
      </c>
      <c r="J19" s="51" t="s">
        <v>164</v>
      </c>
      <c r="K19" s="51" t="s">
        <v>164</v>
      </c>
      <c r="L19" s="51" t="s">
        <v>164</v>
      </c>
      <c r="M19" s="51" t="s">
        <v>164</v>
      </c>
      <c r="N19" s="51" t="s">
        <v>164</v>
      </c>
      <c r="O19" s="51" t="s">
        <v>164</v>
      </c>
      <c r="P19" s="51" t="s">
        <v>164</v>
      </c>
      <c r="Q19" s="51" t="s">
        <v>164</v>
      </c>
      <c r="R19" s="51" t="s">
        <v>164</v>
      </c>
      <c r="S19" s="51" t="s">
        <v>164</v>
      </c>
      <c r="T19" s="51" t="s">
        <v>164</v>
      </c>
      <c r="U19" s="53">
        <f>IFERROR(MEDIAN(U5:U15),"-")</f>
        <v>4.5270000000000001</v>
      </c>
      <c r="V19" s="53">
        <f>IFERROR(MEDIAN(V5:V15),"-")</f>
        <v>6.407</v>
      </c>
      <c r="W19" s="53">
        <f>IFERROR(MEDIAN(W5:W15),"-")</f>
        <v>12.286999999999999</v>
      </c>
      <c r="X19" s="53">
        <f>IFERROR(MEDIAN(X5:X15),"-")</f>
        <v>19.703499999999998</v>
      </c>
      <c r="Y19" s="53">
        <f>IFERROR(MEDIAN(Y5:Y15),"-")</f>
        <v>25.902999999999999</v>
      </c>
      <c r="Z19" s="53">
        <f>IFERROR(MEDIAN(Z5:Z15),"-")</f>
        <v>21.018000000000001</v>
      </c>
    </row>
    <row r="20" spans="2:26" x14ac:dyDescent="0.25">
      <c r="B20" s="48" t="s">
        <v>62</v>
      </c>
      <c r="C20" s="48"/>
      <c r="D20" s="48"/>
      <c r="E20" s="51" t="str">
        <f>IFERROR(PERCENTILE(IF(E5:E15&lt;&gt;"NM",IF(ISNUMBER(E5:E15),E5:E15)),0.75),"-")</f>
        <v>-</v>
      </c>
      <c r="F20" s="51" t="str">
        <f>IFERROR(PERCENTILE(IF(F5:F15&lt;&gt;"NM",IF(ISNUMBER(F5:F15),F5:F15)),0.75),"-")</f>
        <v>-</v>
      </c>
      <c r="G20" s="51" t="str">
        <f>IFERROR(PERCENTILE(IF(G5:G15&lt;&gt;"NM",IF(ISNUMBER(G5:G15),G5:G15)),0.75),"-")</f>
        <v>-</v>
      </c>
      <c r="H20" s="51" t="str">
        <f>IFERROR(PERCENTILE(IF(H5:H15&lt;&gt;"NM",IF(ISNUMBER(H5:H15),H5:H15)),0.75),"-")</f>
        <v>-</v>
      </c>
      <c r="I20" s="51" t="str">
        <f>IFERROR(PERCENTILE(IF(I5:I15&lt;&gt;"NM",IF(ISNUMBER(I5:I15),I5:I15)),0.75),"-")</f>
        <v>-</v>
      </c>
      <c r="J20" s="51" t="str">
        <f>IFERROR(PERCENTILE(IF(J5:J15&lt;&gt;"NM",IF(ISNUMBER(J5:J15),J5:J15)),0.75),"-")</f>
        <v>-</v>
      </c>
      <c r="K20" s="51" t="str">
        <f>IFERROR(PERCENTILE(IF(K5:K15&lt;&gt;"NM",IF(ISNUMBER(K5:K15),K5:K15)),0.75),"-")</f>
        <v>-</v>
      </c>
      <c r="L20" s="51" t="str">
        <f>IFERROR(PERCENTILE(IF(L5:L15&lt;&gt;"NM",IF(ISNUMBER(L5:L15),L5:L15)),0.75),"-")</f>
        <v>-</v>
      </c>
      <c r="M20" s="51" t="str">
        <f>IFERROR(PERCENTILE(IF(M5:M15&lt;&gt;"NM",IF(ISNUMBER(M5:M15),M5:M15)),0.75),"-")</f>
        <v>-</v>
      </c>
      <c r="N20" s="51" t="str">
        <f>IFERROR(PERCENTILE(IF(N5:N15&lt;&gt;"NM",IF(ISNUMBER(N5:N15),N5:N15)),0.75),"-")</f>
        <v>-</v>
      </c>
      <c r="O20" s="52" t="str">
        <f>IFERROR(PERCENTILE(IF(O5:O15&lt;&gt;"NM",IF(ISNUMBER(O5:O15),O5:O15)),0.75),"-")</f>
        <v>-</v>
      </c>
      <c r="P20" s="52" t="str">
        <f>IFERROR(PERCENTILE(IF(P5:P15&lt;&gt;"NM",IF(ISNUMBER(P5:P15),P5:P15)),0.75),"-")</f>
        <v>-</v>
      </c>
      <c r="Q20" s="52" t="str">
        <f>IFERROR(PERCENTILE(IF(Q5:Q15&lt;&gt;"NM",IF(ISNUMBER(Q5:Q15),Q5:Q15)),0.75),"-")</f>
        <v>-</v>
      </c>
      <c r="R20" s="52" t="str">
        <f>IFERROR(PERCENTILE(IF(R5:R15&lt;&gt;"NM",IF(ISNUMBER(R5:R15),R5:R15)),0.75),"-")</f>
        <v>-</v>
      </c>
      <c r="S20" s="52" t="str">
        <f>IFERROR(PERCENTILE(IF(S5:S15&lt;&gt;"NM",IF(ISNUMBER(S5:S15),S5:S15)),0.75),"-")</f>
        <v>-</v>
      </c>
      <c r="T20" s="52" t="str">
        <f>IFERROR(PERCENTILE(IF(T5:T15&lt;&gt;"NM",IF(ISNUMBER(T5:T15),T5:T15)),0.75),"-")</f>
        <v>-</v>
      </c>
      <c r="U20" s="53">
        <f>IFERROR(MAX(U6:U16),"-")</f>
        <v>43.018000000000001</v>
      </c>
      <c r="V20" s="53">
        <f>IFERROR(MAX(V6:V16),"-")</f>
        <v>31.672999999999998</v>
      </c>
      <c r="W20" s="53">
        <f>IFERROR(MAX(W6:W16),"-")</f>
        <v>57.256999999999998</v>
      </c>
      <c r="X20" s="53">
        <f>IFERROR(MAX(X6:X16),"-")</f>
        <v>184.715</v>
      </c>
      <c r="Y20" s="53">
        <f>IFERROR(MAX(Y6:Y16),"-")</f>
        <v>1559.0820000000001</v>
      </c>
      <c r="Z20" s="53">
        <f>IFERROR(MAX(Z6:Z16),"-")</f>
        <v>135.99</v>
      </c>
    </row>
    <row r="21" spans="2:26" x14ac:dyDescent="0.25">
      <c r="B21" s="54" t="s">
        <v>165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</sheetData>
  <mergeCells count="11">
    <mergeCell ref="B17:D17"/>
    <mergeCell ref="B18:D18"/>
    <mergeCell ref="B19:D19"/>
    <mergeCell ref="B20:D20"/>
    <mergeCell ref="B21:Z21"/>
    <mergeCell ref="B1:Z1"/>
    <mergeCell ref="B2:Z2"/>
    <mergeCell ref="B3:G3"/>
    <mergeCell ref="H3:N3"/>
    <mergeCell ref="O3:T3"/>
    <mergeCell ref="U3:Z3"/>
  </mergeCells>
  <phoneticPr fontId="17" type="noConversion"/>
  <conditionalFormatting sqref="O5:T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Z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WACC Model</vt:lpstr>
      <vt:lpstr>Industry Multiples</vt:lpstr>
      <vt:lpstr>TAM &amp; CAGR</vt:lpstr>
      <vt:lpstr>Peer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Johann Somosa</cp:lastModifiedBy>
  <cp:revision>2</cp:revision>
  <cp:lastPrinted>2026-03-11T08:26:38Z</cp:lastPrinted>
  <dcterms:created xsi:type="dcterms:W3CDTF">2026-03-10T22:29:20Z</dcterms:created>
  <dcterms:modified xsi:type="dcterms:W3CDTF">2026-03-11T08:26:52Z</dcterms:modified>
  <dc:language>en-US</dc:language>
</cp:coreProperties>
</file>