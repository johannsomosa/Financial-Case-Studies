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hann\Desktop\Finance\"/>
    </mc:Choice>
  </mc:AlternateContent>
  <xr:revisionPtr revIDLastSave="0" documentId="13_ncr:1_{AE943597-735D-42CB-BF53-CBD3F5F75B60}" xr6:coauthVersionLast="47" xr6:coauthVersionMax="47" xr10:uidLastSave="{00000000-0000-0000-0000-000000000000}"/>
  <bookViews>
    <workbookView xWindow="19110" yWindow="0" windowWidth="19290" windowHeight="21000" activeTab="1" xr2:uid="{E5E6CD55-0CD1-4507-A0C7-DE42AB7BEE74}"/>
  </bookViews>
  <sheets>
    <sheet name="FISERV Inc 3 income statement" sheetId="1" r:id="rId1"/>
    <sheet name="Business Information" sheetId="2" r:id="rId2"/>
    <sheet name="Assump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8" i="2"/>
  <c r="B7" i="2"/>
  <c r="B6" i="2"/>
  <c r="E237" i="1"/>
  <c r="F237" i="1"/>
  <c r="N18" i="1"/>
  <c r="M18" i="1"/>
  <c r="L18" i="1"/>
  <c r="K18" i="1"/>
  <c r="J18" i="1"/>
  <c r="I18" i="1"/>
  <c r="N17" i="1"/>
  <c r="M17" i="1"/>
  <c r="L17" i="1"/>
  <c r="K17" i="1"/>
  <c r="J17" i="1"/>
  <c r="I17" i="1"/>
  <c r="N14" i="1"/>
  <c r="M14" i="1"/>
  <c r="L14" i="1"/>
  <c r="K14" i="1"/>
  <c r="J14" i="1"/>
  <c r="I14" i="1"/>
  <c r="N13" i="1"/>
  <c r="M13" i="1"/>
  <c r="L13" i="1"/>
  <c r="K13" i="1"/>
  <c r="J13" i="1"/>
  <c r="I13" i="1"/>
  <c r="I76" i="1" s="1"/>
  <c r="N12" i="1"/>
  <c r="M12" i="1"/>
  <c r="L12" i="1"/>
  <c r="K12" i="1"/>
  <c r="J12" i="1"/>
  <c r="I12" i="1"/>
  <c r="I71" i="1" s="1"/>
  <c r="N11" i="1"/>
  <c r="M11" i="1"/>
  <c r="L11" i="1"/>
  <c r="K11" i="1"/>
  <c r="J11" i="1"/>
  <c r="I11" i="1"/>
  <c r="I68" i="1" s="1"/>
  <c r="J10" i="1"/>
  <c r="K10" i="1"/>
  <c r="L10" i="1"/>
  <c r="M10" i="1"/>
  <c r="N10" i="1"/>
  <c r="I10" i="1"/>
  <c r="I35" i="1"/>
  <c r="I16" i="1" s="1"/>
  <c r="H34" i="1"/>
  <c r="G34" i="1"/>
  <c r="F34" i="1"/>
  <c r="H32" i="1"/>
  <c r="G32" i="1"/>
  <c r="H31" i="1"/>
  <c r="G31" i="1"/>
  <c r="H15" i="1"/>
  <c r="G15" i="1"/>
  <c r="F15" i="1"/>
  <c r="H13" i="1"/>
  <c r="G13" i="1"/>
  <c r="H12" i="1"/>
  <c r="G12" i="1"/>
  <c r="G262" i="1"/>
  <c r="C262" i="1"/>
  <c r="G261" i="1"/>
  <c r="K260" i="1"/>
  <c r="F257" i="1"/>
  <c r="E257" i="1"/>
  <c r="D257" i="1"/>
  <c r="F241" i="1"/>
  <c r="E241" i="1"/>
  <c r="D241" i="1"/>
  <c r="F239" i="1"/>
  <c r="E239" i="1"/>
  <c r="D239" i="1"/>
  <c r="D237" i="1"/>
  <c r="E234" i="1"/>
  <c r="F234" i="1" s="1"/>
  <c r="D231" i="1"/>
  <c r="G260" i="1" s="1"/>
  <c r="D227" i="1"/>
  <c r="H203" i="1"/>
  <c r="G203" i="1"/>
  <c r="F203" i="1"/>
  <c r="H189" i="1"/>
  <c r="G189" i="1"/>
  <c r="F189" i="1"/>
  <c r="H170" i="1"/>
  <c r="G170" i="1"/>
  <c r="F170" i="1"/>
  <c r="H169" i="1"/>
  <c r="G169" i="1"/>
  <c r="F169" i="1"/>
  <c r="H168" i="1"/>
  <c r="G168" i="1"/>
  <c r="F168" i="1"/>
  <c r="H167" i="1"/>
  <c r="G167" i="1"/>
  <c r="F167" i="1"/>
  <c r="H166" i="1"/>
  <c r="G166" i="1"/>
  <c r="F166" i="1"/>
  <c r="G149" i="1"/>
  <c r="H149" i="1" s="1"/>
  <c r="H138" i="1"/>
  <c r="D225" i="1" s="1"/>
  <c r="G138" i="1"/>
  <c r="G142" i="1" s="1"/>
  <c r="F138" i="1"/>
  <c r="F142" i="1" s="1"/>
  <c r="H123" i="1"/>
  <c r="H129" i="1" s="1"/>
  <c r="H143" i="1" s="1"/>
  <c r="G123" i="1"/>
  <c r="G129" i="1" s="1"/>
  <c r="F123" i="1"/>
  <c r="F129" i="1" s="1"/>
  <c r="H107" i="1"/>
  <c r="H117" i="1" s="1"/>
  <c r="G107" i="1"/>
  <c r="G117" i="1" s="1"/>
  <c r="F107" i="1"/>
  <c r="F117" i="1" s="1"/>
  <c r="G101" i="1"/>
  <c r="H101" i="1" s="1"/>
  <c r="H92" i="1"/>
  <c r="G92" i="1"/>
  <c r="H89" i="1"/>
  <c r="G89" i="1"/>
  <c r="I84" i="1"/>
  <c r="J84" i="1" s="1"/>
  <c r="K84" i="1" s="1"/>
  <c r="L84" i="1" s="1"/>
  <c r="M84" i="1" s="1"/>
  <c r="N84" i="1" s="1"/>
  <c r="I81" i="1"/>
  <c r="I77" i="1"/>
  <c r="J77" i="1" s="1"/>
  <c r="K77" i="1" s="1"/>
  <c r="L77" i="1" s="1"/>
  <c r="M77" i="1" s="1"/>
  <c r="N77" i="1" s="1"/>
  <c r="H67" i="1"/>
  <c r="H69" i="1" s="1"/>
  <c r="G67" i="1"/>
  <c r="G69" i="1" s="1"/>
  <c r="F67" i="1"/>
  <c r="F69" i="1" s="1"/>
  <c r="F73" i="1" s="1"/>
  <c r="H66" i="1"/>
  <c r="H23" i="1" s="1"/>
  <c r="G66" i="1"/>
  <c r="G23" i="1" s="1"/>
  <c r="F66" i="1"/>
  <c r="F23" i="1" s="1"/>
  <c r="G63" i="1"/>
  <c r="H63" i="1" s="1"/>
  <c r="I63" i="1" s="1"/>
  <c r="J63" i="1" s="1"/>
  <c r="K63" i="1" s="1"/>
  <c r="L63" i="1" s="1"/>
  <c r="M63" i="1" s="1"/>
  <c r="N63" i="1" s="1"/>
  <c r="I58" i="1"/>
  <c r="J58" i="1" s="1"/>
  <c r="I57" i="1"/>
  <c r="J57" i="1" s="1"/>
  <c r="H55" i="1"/>
  <c r="G55" i="1"/>
  <c r="H54" i="1"/>
  <c r="G54" i="1"/>
  <c r="I46" i="1"/>
  <c r="J46" i="1" s="1"/>
  <c r="H45" i="1"/>
  <c r="G45" i="1"/>
  <c r="F45" i="1"/>
  <c r="H43" i="1"/>
  <c r="G43" i="1"/>
  <c r="H42" i="1"/>
  <c r="G42" i="1"/>
  <c r="G6" i="1"/>
  <c r="H6" i="1" s="1"/>
  <c r="I6" i="1" s="1"/>
  <c r="J6" i="1" s="1"/>
  <c r="K6" i="1" s="1"/>
  <c r="L6" i="1" s="1"/>
  <c r="M6" i="1" s="1"/>
  <c r="N6" i="1" s="1"/>
  <c r="F211" i="1" l="1" a="1"/>
  <c r="F211" i="1" s="1"/>
  <c r="F216" i="1" s="1"/>
  <c r="G211" i="1" a="1"/>
  <c r="G211" i="1" s="1"/>
  <c r="G216" i="1" s="1"/>
  <c r="I34" i="1"/>
  <c r="I15" i="1" s="1"/>
  <c r="I75" i="1" s="1"/>
  <c r="G239" i="1" s="1"/>
  <c r="H211" i="1" a="1"/>
  <c r="H211" i="1" s="1"/>
  <c r="H216" i="1" s="1"/>
  <c r="G237" i="1"/>
  <c r="G263" i="1"/>
  <c r="G265" i="1" s="1"/>
  <c r="G143" i="1"/>
  <c r="G145" i="1" s="1"/>
  <c r="J35" i="1"/>
  <c r="H30" i="1"/>
  <c r="J68" i="1"/>
  <c r="K68" i="1" s="1"/>
  <c r="L68" i="1" s="1"/>
  <c r="M68" i="1" s="1"/>
  <c r="N68" i="1" s="1"/>
  <c r="I65" i="1"/>
  <c r="J65" i="1" s="1"/>
  <c r="K65" i="1" s="1"/>
  <c r="L65" i="1" s="1"/>
  <c r="M65" i="1" s="1"/>
  <c r="N65" i="1" s="1"/>
  <c r="G241" i="1"/>
  <c r="H241" i="1" s="1"/>
  <c r="I241" i="1" s="1"/>
  <c r="J241" i="1" s="1"/>
  <c r="K241" i="1" s="1"/>
  <c r="L241" i="1" s="1"/>
  <c r="J71" i="1"/>
  <c r="K71" i="1" s="1"/>
  <c r="L71" i="1" s="1"/>
  <c r="M71" i="1" s="1"/>
  <c r="N71" i="1" s="1"/>
  <c r="F18" i="1"/>
  <c r="H10" i="1"/>
  <c r="F24" i="1"/>
  <c r="G30" i="1"/>
  <c r="F143" i="1"/>
  <c r="F145" i="1" s="1"/>
  <c r="I45" i="1"/>
  <c r="J45" i="1" s="1"/>
  <c r="G10" i="1"/>
  <c r="G11" i="1"/>
  <c r="H11" i="1"/>
  <c r="H52" i="1"/>
  <c r="G29" i="1"/>
  <c r="H29" i="1"/>
  <c r="F37" i="1"/>
  <c r="I67" i="1"/>
  <c r="J67" i="1" s="1"/>
  <c r="K67" i="1" s="1"/>
  <c r="F48" i="1"/>
  <c r="K58" i="1"/>
  <c r="G53" i="1"/>
  <c r="G41" i="1"/>
  <c r="G24" i="1"/>
  <c r="G73" i="1"/>
  <c r="G18" i="1" s="1"/>
  <c r="H41" i="1"/>
  <c r="H53" i="1"/>
  <c r="H24" i="1"/>
  <c r="H73" i="1"/>
  <c r="I73" i="1" s="1"/>
  <c r="J73" i="1" s="1"/>
  <c r="K73" i="1" s="1"/>
  <c r="L73" i="1" s="1"/>
  <c r="M73" i="1" s="1"/>
  <c r="N73" i="1" s="1"/>
  <c r="L242" i="1" s="1"/>
  <c r="H145" i="1"/>
  <c r="G234" i="1"/>
  <c r="H234" i="1" s="1"/>
  <c r="I234" i="1" s="1"/>
  <c r="J234" i="1" s="1"/>
  <c r="K234" i="1" s="1"/>
  <c r="L234" i="1" s="1"/>
  <c r="M234" i="1" s="1"/>
  <c r="K57" i="1"/>
  <c r="K46" i="1"/>
  <c r="L46" i="1" s="1"/>
  <c r="G70" i="1"/>
  <c r="H70" i="1"/>
  <c r="F70" i="1"/>
  <c r="D224" i="1"/>
  <c r="F60" i="1"/>
  <c r="J76" i="1"/>
  <c r="H237" i="1" s="1"/>
  <c r="F22" i="1"/>
  <c r="G40" i="1"/>
  <c r="G22" i="1"/>
  <c r="H40" i="1"/>
  <c r="H22" i="1"/>
  <c r="I64" i="1" s="1"/>
  <c r="G52" i="1"/>
  <c r="J81" i="1"/>
  <c r="K81" i="1" s="1"/>
  <c r="J34" i="1" l="1"/>
  <c r="K34" i="1" s="1"/>
  <c r="F217" i="1"/>
  <c r="D242" i="1" s="1"/>
  <c r="G217" i="1"/>
  <c r="E242" i="1" s="1"/>
  <c r="K45" i="1"/>
  <c r="L45" i="1" s="1"/>
  <c r="L34" i="1"/>
  <c r="J16" i="1"/>
  <c r="K35" i="1" s="1"/>
  <c r="K16" i="1" s="1"/>
  <c r="L35" i="1" s="1"/>
  <c r="L16" i="1" s="1"/>
  <c r="H242" i="1"/>
  <c r="G242" i="1"/>
  <c r="K242" i="1"/>
  <c r="J242" i="1"/>
  <c r="I242" i="1"/>
  <c r="G60" i="1"/>
  <c r="J69" i="1"/>
  <c r="I69" i="1"/>
  <c r="L81" i="1"/>
  <c r="M81" i="1" s="1"/>
  <c r="N81" i="1" s="1"/>
  <c r="H37" i="1"/>
  <c r="H48" i="1"/>
  <c r="J15" i="1"/>
  <c r="G37" i="1"/>
  <c r="M46" i="1"/>
  <c r="N46" i="1" s="1"/>
  <c r="H18" i="1"/>
  <c r="H60" i="1"/>
  <c r="G48" i="1"/>
  <c r="L67" i="1"/>
  <c r="K69" i="1"/>
  <c r="H90" i="1"/>
  <c r="H97" i="1"/>
  <c r="H74" i="1"/>
  <c r="H20" i="1"/>
  <c r="H95" i="1"/>
  <c r="H25" i="1"/>
  <c r="L57" i="1"/>
  <c r="G90" i="1"/>
  <c r="G97" i="1"/>
  <c r="G74" i="1"/>
  <c r="G20" i="1"/>
  <c r="G95" i="1"/>
  <c r="G25" i="1"/>
  <c r="K76" i="1"/>
  <c r="I237" i="1" s="1"/>
  <c r="C253" i="1"/>
  <c r="C252" i="1"/>
  <c r="C251" i="1"/>
  <c r="C254" i="1"/>
  <c r="C250" i="1"/>
  <c r="C255" i="1"/>
  <c r="F97" i="1"/>
  <c r="F74" i="1"/>
  <c r="F20" i="1"/>
  <c r="F95" i="1"/>
  <c r="F25" i="1"/>
  <c r="L58" i="1"/>
  <c r="J64" i="1"/>
  <c r="I66" i="1"/>
  <c r="H217" i="1" l="1"/>
  <c r="F242" i="1" s="1"/>
  <c r="M34" i="1"/>
  <c r="N34" i="1" s="1"/>
  <c r="M45" i="1"/>
  <c r="N45" i="1" s="1"/>
  <c r="I70" i="1"/>
  <c r="I74" i="1" s="1"/>
  <c r="I78" i="1" s="1"/>
  <c r="M35" i="1"/>
  <c r="M16" i="1" s="1"/>
  <c r="J75" i="1"/>
  <c r="H239" i="1" s="1"/>
  <c r="H91" i="1"/>
  <c r="H21" i="1"/>
  <c r="H96" i="1"/>
  <c r="H26" i="1"/>
  <c r="H78" i="1"/>
  <c r="F236" i="1" s="1"/>
  <c r="F238" i="1" s="1"/>
  <c r="F240" i="1" s="1"/>
  <c r="F243" i="1" s="1"/>
  <c r="C257" i="1"/>
  <c r="G91" i="1"/>
  <c r="G21" i="1"/>
  <c r="G96" i="1"/>
  <c r="G26" i="1"/>
  <c r="G78" i="1"/>
  <c r="E236" i="1" s="1"/>
  <c r="E238" i="1" s="1"/>
  <c r="E240" i="1" s="1"/>
  <c r="E243" i="1" s="1"/>
  <c r="L69" i="1"/>
  <c r="M67" i="1"/>
  <c r="F21" i="1"/>
  <c r="F96" i="1"/>
  <c r="F78" i="1"/>
  <c r="D236" i="1" s="1"/>
  <c r="D238" i="1" s="1"/>
  <c r="D240" i="1" s="1"/>
  <c r="D243" i="1" s="1"/>
  <c r="K64" i="1"/>
  <c r="J66" i="1"/>
  <c r="J70" i="1" s="1"/>
  <c r="J74" i="1" s="1"/>
  <c r="M58" i="1"/>
  <c r="L76" i="1"/>
  <c r="J237" i="1" s="1"/>
  <c r="M57" i="1"/>
  <c r="I79" i="1" l="1"/>
  <c r="I80" i="1" s="1"/>
  <c r="G236" i="1"/>
  <c r="G238" i="1" s="1"/>
  <c r="G240" i="1" s="1"/>
  <c r="G243" i="1" s="1"/>
  <c r="J78" i="1"/>
  <c r="H236" i="1" s="1"/>
  <c r="H238" i="1" s="1"/>
  <c r="H240" i="1" s="1"/>
  <c r="H243" i="1" s="1"/>
  <c r="K15" i="1"/>
  <c r="K75" i="1" s="1"/>
  <c r="I239" i="1" s="1"/>
  <c r="N35" i="1"/>
  <c r="N16" i="1" s="1"/>
  <c r="L64" i="1"/>
  <c r="K66" i="1"/>
  <c r="K70" i="1" s="1"/>
  <c r="K74" i="1" s="1"/>
  <c r="J79" i="1"/>
  <c r="J82" i="1" s="1"/>
  <c r="J85" i="1" s="1"/>
  <c r="M76" i="1"/>
  <c r="K237" i="1" s="1"/>
  <c r="H80" i="1"/>
  <c r="H82" i="1"/>
  <c r="F80" i="1"/>
  <c r="F82" i="1"/>
  <c r="N58" i="1"/>
  <c r="N57" i="1"/>
  <c r="M69" i="1"/>
  <c r="N67" i="1"/>
  <c r="N69" i="1" s="1"/>
  <c r="G80" i="1"/>
  <c r="G82" i="1"/>
  <c r="I82" i="1"/>
  <c r="I85" i="1" s="1"/>
  <c r="H245" i="1" l="1"/>
  <c r="H246" i="1" s="1"/>
  <c r="H251" i="1"/>
  <c r="G250" i="1"/>
  <c r="G245" i="1"/>
  <c r="G246" i="1" s="1"/>
  <c r="K78" i="1"/>
  <c r="L15" i="1"/>
  <c r="J80" i="1"/>
  <c r="F14" i="1"/>
  <c r="F33" i="1"/>
  <c r="G14" i="1"/>
  <c r="G33" i="1"/>
  <c r="H33" i="1"/>
  <c r="H14" i="1"/>
  <c r="G56" i="1"/>
  <c r="G44" i="1"/>
  <c r="G151" i="1"/>
  <c r="G171" i="1" s="1"/>
  <c r="G206" i="1" s="1"/>
  <c r="G93" i="1"/>
  <c r="G85" i="1"/>
  <c r="F56" i="1"/>
  <c r="F44" i="1"/>
  <c r="F151" i="1"/>
  <c r="F171" i="1" s="1"/>
  <c r="F206" i="1" s="1"/>
  <c r="F85" i="1"/>
  <c r="H56" i="1"/>
  <c r="H44" i="1"/>
  <c r="N76" i="1"/>
  <c r="H151" i="1"/>
  <c r="H171" i="1" s="1"/>
  <c r="H206" i="1" s="1"/>
  <c r="C261" i="1" s="1"/>
  <c r="H93" i="1"/>
  <c r="H85" i="1"/>
  <c r="M64" i="1"/>
  <c r="L66" i="1"/>
  <c r="L70" i="1" s="1"/>
  <c r="L74" i="1" s="1"/>
  <c r="L237" i="1" l="1"/>
  <c r="G257" i="1"/>
  <c r="B250" i="1"/>
  <c r="H257" i="1"/>
  <c r="B251" i="1"/>
  <c r="K79" i="1"/>
  <c r="K80" i="1" s="1"/>
  <c r="I236" i="1"/>
  <c r="I238" i="1" s="1"/>
  <c r="I240" i="1" s="1"/>
  <c r="I243" i="1" s="1"/>
  <c r="M15" i="1"/>
  <c r="M75" i="1" s="1"/>
  <c r="K239" i="1" s="1"/>
  <c r="L75" i="1"/>
  <c r="J239" i="1" s="1"/>
  <c r="N15" i="1"/>
  <c r="K82" i="1"/>
  <c r="K85" i="1" s="1"/>
  <c r="N64" i="1"/>
  <c r="N66" i="1" s="1"/>
  <c r="N70" i="1" s="1"/>
  <c r="N74" i="1" s="1"/>
  <c r="M66" i="1"/>
  <c r="M70" i="1" s="1"/>
  <c r="M74" i="1" s="1"/>
  <c r="I245" i="1" l="1"/>
  <c r="I246" i="1" s="1"/>
  <c r="I252" i="1"/>
  <c r="M78" i="1"/>
  <c r="L78" i="1"/>
  <c r="N75" i="1"/>
  <c r="L239" i="1" s="1"/>
  <c r="M79" i="1" l="1"/>
  <c r="M80" i="1" s="1"/>
  <c r="K236" i="1"/>
  <c r="K238" i="1" s="1"/>
  <c r="K240" i="1" s="1"/>
  <c r="K243" i="1" s="1"/>
  <c r="I257" i="1"/>
  <c r="B252" i="1"/>
  <c r="L79" i="1"/>
  <c r="J236" i="1"/>
  <c r="J238" i="1" s="1"/>
  <c r="J240" i="1" s="1"/>
  <c r="J243" i="1" s="1"/>
  <c r="N78" i="1"/>
  <c r="M82" i="1"/>
  <c r="M85" i="1" s="1"/>
  <c r="N79" i="1" l="1"/>
  <c r="N82" i="1" s="1"/>
  <c r="N85" i="1" s="1"/>
  <c r="L236" i="1"/>
  <c r="L238" i="1" s="1"/>
  <c r="L240" i="1" s="1"/>
  <c r="J253" i="1"/>
  <c r="J245" i="1"/>
  <c r="J246" i="1" s="1"/>
  <c r="L80" i="1"/>
  <c r="L82" i="1"/>
  <c r="L85" i="1" s="1"/>
  <c r="K245" i="1"/>
  <c r="K246" i="1" s="1"/>
  <c r="K254" i="1"/>
  <c r="N80" i="1"/>
  <c r="K257" i="1" l="1"/>
  <c r="B254" i="1"/>
  <c r="Q236" i="1"/>
  <c r="L243" i="1"/>
  <c r="B253" i="1"/>
  <c r="J257" i="1"/>
  <c r="L255" i="1" l="1"/>
  <c r="L245" i="1"/>
  <c r="L246" i="1" s="1"/>
  <c r="L256" i="1"/>
  <c r="B256" i="1" s="1"/>
  <c r="M244" i="1"/>
  <c r="M245" i="1" s="1"/>
  <c r="M246" i="1" s="1"/>
  <c r="L257" i="1" l="1"/>
  <c r="B255" i="1"/>
  <c r="B257" i="1" s="1"/>
  <c r="C260" i="1" s="1"/>
  <c r="C263" i="1" s="1"/>
  <c r="K261" i="1" l="1"/>
  <c r="K262" i="1" s="1"/>
  <c r="C265" i="1"/>
  <c r="G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author>
  </authors>
  <commentList>
    <comment ref="B10" authorId="0" shapeId="0" xr:uid="{F97FA0F4-4843-47FD-B662-F203BD6B1CED}">
      <text>
        <r>
          <rPr>
            <b/>
            <sz val="9"/>
            <color indexed="81"/>
            <rFont val="Tahoma"/>
            <family val="2"/>
          </rPr>
          <t>Johann:</t>
        </r>
        <r>
          <rPr>
            <sz val="9"/>
            <color indexed="81"/>
            <rFont val="Tahoma"/>
            <family val="2"/>
          </rPr>
          <t xml:space="preserve">
Driven by account- and transaction-based fees.
Revenue = Price x Sales</t>
        </r>
      </text>
    </comment>
    <comment ref="I10" authorId="0" shapeId="0" xr:uid="{6670A25E-7C38-48C2-A587-9E56BF1B62A8}">
      <text>
        <r>
          <rPr>
            <b/>
            <sz val="9"/>
            <color indexed="81"/>
            <rFont val="Tahoma"/>
            <family val="2"/>
          </rPr>
          <t>Johann:</t>
        </r>
        <r>
          <rPr>
            <sz val="9"/>
            <color indexed="81"/>
            <rFont val="Tahoma"/>
            <family val="2"/>
          </rPr>
          <t xml:space="preserve">
"Fiserv now expects organic revenue growth of 3.5 to 4%" , based on FISERV Earnings call 2025.</t>
        </r>
      </text>
    </comment>
    <comment ref="I11" authorId="0" shapeId="0" xr:uid="{4EA95791-9A51-4A8D-833A-99B892223F15}">
      <text>
        <r>
          <rPr>
            <b/>
            <sz val="9"/>
            <color indexed="81"/>
            <rFont val="Tahoma"/>
            <family val="2"/>
          </rPr>
          <t>Johann:</t>
        </r>
        <r>
          <rPr>
            <sz val="9"/>
            <color indexed="81"/>
            <rFont val="Tahoma"/>
            <family val="2"/>
          </rPr>
          <t xml:space="preserve">
Large acquisitions will impact transaction related efficiency, and integration costs.</t>
        </r>
      </text>
    </comment>
    <comment ref="B17" authorId="0" shapeId="0" xr:uid="{3D4CFFCA-FD69-472E-9E44-F86012F49833}">
      <text>
        <r>
          <rPr>
            <b/>
            <sz val="9"/>
            <color indexed="81"/>
            <rFont val="Tahoma"/>
            <charset val="1"/>
          </rPr>
          <t xml:space="preserve">Johann:
"Our capital expenditures were approximately 7% and 8% of our total revenue in 2023 and 2022, respectively." (FISERVE 10K)
</t>
        </r>
      </text>
    </comment>
    <comment ref="B18" authorId="0" shapeId="0" xr:uid="{E182BC3E-B57E-43ED-B7E3-0DFEA5A29B3F}">
      <text>
        <r>
          <rPr>
            <b/>
            <sz val="9"/>
            <color indexed="81"/>
            <rFont val="Tahoma"/>
            <charset val="1"/>
          </rPr>
          <t>Johann:</t>
        </r>
        <r>
          <rPr>
            <sz val="9"/>
            <color indexed="81"/>
            <rFont val="Tahoma"/>
            <charset val="1"/>
          </rPr>
          <t xml:space="preserve">
Prepaid expenses represent advance payments for goods and services to be consumed in the future such as maintenance, postage and insurance.</t>
        </r>
      </text>
    </comment>
    <comment ref="B29" authorId="0" shapeId="0" xr:uid="{CCFBF7A7-D75B-474E-97DC-1D93496413E3}">
      <text>
        <r>
          <rPr>
            <b/>
            <sz val="9"/>
            <color indexed="81"/>
            <rFont val="Tahoma"/>
            <family val="2"/>
          </rPr>
          <t>Johann:</t>
        </r>
        <r>
          <rPr>
            <sz val="9"/>
            <color indexed="81"/>
            <rFont val="Tahoma"/>
            <family val="2"/>
          </rPr>
          <t xml:space="preserve">
Driven by account- and transaction-based fees.
Revenue = Price x Sales</t>
        </r>
      </text>
    </comment>
    <comment ref="I29" authorId="0" shapeId="0" xr:uid="{641F214E-2FAB-4F31-8AF6-F8B884CA23B3}">
      <text>
        <r>
          <rPr>
            <b/>
            <sz val="9"/>
            <color indexed="81"/>
            <rFont val="Tahoma"/>
            <family val="2"/>
          </rPr>
          <t>Johann:</t>
        </r>
        <r>
          <rPr>
            <sz val="9"/>
            <color indexed="81"/>
            <rFont val="Tahoma"/>
            <family val="2"/>
          </rPr>
          <t xml:space="preserve">
"Fiserv now expects organic revenue growth of 3.5 to 4%" , based on FISERV Earnings call 2025.</t>
        </r>
      </text>
    </comment>
    <comment ref="I30" authorId="0" shapeId="0" xr:uid="{709EE622-A90D-48BC-B8EC-BFA1703644EF}">
      <text>
        <r>
          <rPr>
            <b/>
            <sz val="9"/>
            <color indexed="81"/>
            <rFont val="Tahoma"/>
            <family val="2"/>
          </rPr>
          <t>Johann:</t>
        </r>
        <r>
          <rPr>
            <sz val="9"/>
            <color indexed="81"/>
            <rFont val="Tahoma"/>
            <family val="2"/>
          </rPr>
          <t xml:space="preserve">
Large acquisitions will impact transaction related efficiency, and integration costs.</t>
        </r>
      </text>
    </comment>
    <comment ref="B36" authorId="0" shapeId="0" xr:uid="{2CA4D4B7-2946-44FB-997A-6FE7FE421F7C}">
      <text>
        <r>
          <rPr>
            <b/>
            <sz val="9"/>
            <color indexed="81"/>
            <rFont val="Tahoma"/>
            <charset val="1"/>
          </rPr>
          <t xml:space="preserve">Johann:
"Our capital expenditures were approximately 7% and 8% of our total revenue in 2023 and 2022, respectively." (FISERVE 10K)
</t>
        </r>
      </text>
    </comment>
    <comment ref="B37" authorId="0" shapeId="0" xr:uid="{5AB3049B-99C9-4CCF-8A2F-E77B2C2BEB38}">
      <text>
        <r>
          <rPr>
            <b/>
            <sz val="9"/>
            <color indexed="81"/>
            <rFont val="Tahoma"/>
            <charset val="1"/>
          </rPr>
          <t>Johann:</t>
        </r>
        <r>
          <rPr>
            <sz val="9"/>
            <color indexed="81"/>
            <rFont val="Tahoma"/>
            <charset val="1"/>
          </rPr>
          <t xml:space="preserve">
Prepaid expenses represent advance payments for goods and services to be consumed in the future such as maintenance, postage and insurance.</t>
        </r>
      </text>
    </comment>
    <comment ref="B40" authorId="0" shapeId="0" xr:uid="{1A11AD6A-042F-45ED-9B9C-5D05135376EC}">
      <text>
        <r>
          <rPr>
            <b/>
            <sz val="9"/>
            <color indexed="81"/>
            <rFont val="Tahoma"/>
            <family val="2"/>
          </rPr>
          <t>Johann:</t>
        </r>
        <r>
          <rPr>
            <sz val="9"/>
            <color indexed="81"/>
            <rFont val="Tahoma"/>
            <family val="2"/>
          </rPr>
          <t xml:space="preserve">
Driven by account- and transaction-based fees.
Revenue = Price x Sales</t>
        </r>
      </text>
    </comment>
    <comment ref="I40" authorId="0" shapeId="0" xr:uid="{ED5D8116-3E39-4B59-B665-91FD83F12D6C}">
      <text>
        <r>
          <rPr>
            <b/>
            <sz val="9"/>
            <color indexed="81"/>
            <rFont val="Tahoma"/>
            <family val="2"/>
          </rPr>
          <t>Johann:</t>
        </r>
        <r>
          <rPr>
            <sz val="9"/>
            <color indexed="81"/>
            <rFont val="Tahoma"/>
            <family val="2"/>
          </rPr>
          <t xml:space="preserve">
"Fiserv now expects organic revenue growth of 3.5 to 4%" , based on FISERV Earnings call 2025.</t>
        </r>
      </text>
    </comment>
    <comment ref="I41" authorId="0" shapeId="0" xr:uid="{FA7B47FF-A12C-44EF-A868-13086A46BA88}">
      <text>
        <r>
          <rPr>
            <b/>
            <sz val="9"/>
            <color indexed="81"/>
            <rFont val="Tahoma"/>
            <family val="2"/>
          </rPr>
          <t>Johann:</t>
        </r>
        <r>
          <rPr>
            <sz val="9"/>
            <color indexed="81"/>
            <rFont val="Tahoma"/>
            <family val="2"/>
          </rPr>
          <t xml:space="preserve">
Large acquisitions will impact transaction related efficiency, and integration costs.</t>
        </r>
      </text>
    </comment>
    <comment ref="B47" authorId="0" shapeId="0" xr:uid="{E2D34949-BDAB-426E-8C61-E7466A9FFFE4}">
      <text>
        <r>
          <rPr>
            <b/>
            <sz val="9"/>
            <color indexed="81"/>
            <rFont val="Tahoma"/>
            <charset val="1"/>
          </rPr>
          <t xml:space="preserve">Johann:
"Our capital expenditures were approximately 7% and 8% of our total revenue in 2023 and 2022, respectively." (FISERVE 10K)
</t>
        </r>
      </text>
    </comment>
    <comment ref="B48" authorId="0" shapeId="0" xr:uid="{F6150A97-6F23-481C-8721-E8622400BA30}">
      <text>
        <r>
          <rPr>
            <b/>
            <sz val="9"/>
            <color indexed="81"/>
            <rFont val="Tahoma"/>
            <charset val="1"/>
          </rPr>
          <t>Johann:</t>
        </r>
        <r>
          <rPr>
            <sz val="9"/>
            <color indexed="81"/>
            <rFont val="Tahoma"/>
            <charset val="1"/>
          </rPr>
          <t xml:space="preserve">
Prepaid expenses represent advance payments for goods and services to be consumed in the future such as maintenance, postage and insurance.</t>
        </r>
      </text>
    </comment>
    <comment ref="B52" authorId="0" shapeId="0" xr:uid="{A74F0ABD-B50A-46A9-B65E-B92F3F62D297}">
      <text>
        <r>
          <rPr>
            <b/>
            <sz val="9"/>
            <color indexed="81"/>
            <rFont val="Tahoma"/>
            <family val="2"/>
          </rPr>
          <t>Johann:</t>
        </r>
        <r>
          <rPr>
            <sz val="9"/>
            <color indexed="81"/>
            <rFont val="Tahoma"/>
            <family val="2"/>
          </rPr>
          <t xml:space="preserve">
Driven by account- and transaction-based fees.
Revenue = Price x Sales</t>
        </r>
      </text>
    </comment>
    <comment ref="I52" authorId="0" shapeId="0" xr:uid="{EA5A5589-E73F-4616-B740-3E28F11713F5}">
      <text>
        <r>
          <rPr>
            <b/>
            <sz val="9"/>
            <color indexed="81"/>
            <rFont val="Tahoma"/>
            <family val="2"/>
          </rPr>
          <t>Johann:</t>
        </r>
        <r>
          <rPr>
            <sz val="9"/>
            <color indexed="81"/>
            <rFont val="Tahoma"/>
            <family val="2"/>
          </rPr>
          <t xml:space="preserve">
"Fiserv now expects organic revenue growth of 3.5 to 4%" , based on FISERV Earnings call 2025.</t>
        </r>
      </text>
    </comment>
    <comment ref="I53" authorId="0" shapeId="0" xr:uid="{5B27B468-A607-48E5-9F19-37E006985E77}">
      <text>
        <r>
          <rPr>
            <b/>
            <sz val="9"/>
            <color indexed="81"/>
            <rFont val="Tahoma"/>
            <family val="2"/>
          </rPr>
          <t>Johann:</t>
        </r>
        <r>
          <rPr>
            <sz val="9"/>
            <color indexed="81"/>
            <rFont val="Tahoma"/>
            <family val="2"/>
          </rPr>
          <t xml:space="preserve">
Large acquisitions will impact transaction related efficiency, and integration costs.</t>
        </r>
      </text>
    </comment>
    <comment ref="B59" authorId="0" shapeId="0" xr:uid="{B0FCE626-7F16-477C-925A-3176E5BC3482}">
      <text>
        <r>
          <rPr>
            <b/>
            <sz val="9"/>
            <color indexed="81"/>
            <rFont val="Tahoma"/>
            <charset val="1"/>
          </rPr>
          <t xml:space="preserve">Johann:
"Our capital expenditures were approximately 7% and 8% of our total revenue in 2023 and 2022, respectively." (FISERVE 10K)
</t>
        </r>
      </text>
    </comment>
    <comment ref="B60" authorId="0" shapeId="0" xr:uid="{88DE3220-43F8-4365-85EC-27FE7CA3B33A}">
      <text>
        <r>
          <rPr>
            <b/>
            <sz val="9"/>
            <color indexed="81"/>
            <rFont val="Tahoma"/>
            <charset val="1"/>
          </rPr>
          <t>Johann:</t>
        </r>
        <r>
          <rPr>
            <sz val="9"/>
            <color indexed="81"/>
            <rFont val="Tahoma"/>
            <charset val="1"/>
          </rPr>
          <t xml:space="preserve">
Prepaid expenses represent advance payments for goods and services to be consumed in the future such as maintenance, postage and insurance.</t>
        </r>
      </text>
    </comment>
    <comment ref="I84" authorId="0" shapeId="0" xr:uid="{FEB046C6-C848-4D64-B910-CC87A03C2E0B}">
      <text>
        <r>
          <rPr>
            <b/>
            <sz val="9"/>
            <color indexed="81"/>
            <rFont val="Tahoma"/>
            <family val="2"/>
          </rPr>
          <t>Johann:</t>
        </r>
        <r>
          <rPr>
            <sz val="9"/>
            <color indexed="81"/>
            <rFont val="Tahoma"/>
            <family val="2"/>
          </rPr>
          <t xml:space="preserve">
"The company repurchased 7.2 million shares of common stock for $1.0 billion in the third quarter and 29.1 million shares of common stock for $5.4 billion in the first nine months of 2025." (FISERV Earnings Call 2025)</t>
        </r>
      </text>
    </comment>
    <comment ref="B104" authorId="0" shapeId="0" xr:uid="{CEAC9DC2-0AF8-4790-A19F-E215193AD1E7}">
      <text>
        <r>
          <rPr>
            <b/>
            <sz val="9"/>
            <color indexed="81"/>
            <rFont val="Tahoma"/>
            <charset val="1"/>
          </rPr>
          <t>Johann:</t>
        </r>
        <r>
          <rPr>
            <sz val="9"/>
            <color indexed="81"/>
            <rFont val="Tahoma"/>
            <charset val="1"/>
          </rPr>
          <t xml:space="preserve">
Prepaid expenses represent advance payments for goods and services to be consumed in the future such as maintenance, postage and insurance. 
The Company maintains certain leasing receivables associated with its POS terminal leasing businesses. Leasing receivables are included in prepaid expenses and other current assets (current portion) and other long-term assets (noncurrent portion) in the consolidated balance sheets.</t>
        </r>
      </text>
    </comment>
    <comment ref="B105" authorId="0" shapeId="0" xr:uid="{7DEF653E-0ABC-49C9-8B80-5857F11D9F7C}">
      <text>
        <r>
          <rPr>
            <b/>
            <sz val="9"/>
            <color indexed="81"/>
            <rFont val="Tahoma"/>
            <charset val="1"/>
          </rPr>
          <t>Johann:</t>
        </r>
        <r>
          <rPr>
            <sz val="9"/>
            <color indexed="81"/>
            <rFont val="Tahoma"/>
            <charset val="1"/>
          </rPr>
          <t xml:space="preserve">
Settlement assets and obligations represent intermediary balances arising from the settlement process, which involves the transfer of funds among card issuers, payment networks, processors, merchants and consumers, and collateral amounts held to manage merchant credit risk, primarily associated with the Company’s merchant acquiring services."</t>
        </r>
      </text>
    </comment>
    <comment ref="B114" authorId="0" shapeId="0" xr:uid="{E640291E-E328-4B97-A2B7-0ECDA8612C58}">
      <text>
        <r>
          <rPr>
            <b/>
            <sz val="9"/>
            <color indexed="81"/>
            <rFont val="Tahoma"/>
            <charset val="1"/>
          </rPr>
          <t>Johann:</t>
        </r>
        <r>
          <rPr>
            <sz val="9"/>
            <color indexed="81"/>
            <rFont val="Tahoma"/>
            <charset val="1"/>
          </rPr>
          <t xml:space="preserve">
The Company incurs incremental costs to obtain a contract as well as costs to fulfill contracts with customers that are expected to be recovered. These costs consist of sales commissions incurred only if a contract is obtained, and customer conversion or implementation related costs</t>
        </r>
      </text>
    </comment>
    <comment ref="B226" authorId="0" shapeId="0" xr:uid="{D500273E-B7C3-4F42-8956-0A9D04AF9B6A}">
      <text>
        <r>
          <rPr>
            <b/>
            <sz val="9"/>
            <color indexed="81"/>
            <rFont val="Tahoma"/>
            <family val="2"/>
          </rPr>
          <t>Johann:</t>
        </r>
        <r>
          <rPr>
            <sz val="9"/>
            <color indexed="81"/>
            <rFont val="Tahoma"/>
            <family val="2"/>
          </rPr>
          <t xml:space="preserve">
" The company completed a public offering of $2.0 billion of 5-year and 10-year senior notes with a weighted average coupon rate of 4.90%."</t>
        </r>
      </text>
    </comment>
    <comment ref="B230" authorId="0" shapeId="0" xr:uid="{BFE8521B-CB73-4FF0-8329-3C3560E32B3A}">
      <text>
        <r>
          <rPr>
            <b/>
            <sz val="9"/>
            <color indexed="81"/>
            <rFont val="Tahoma"/>
            <family val="2"/>
          </rPr>
          <t>Johann:</t>
        </r>
        <r>
          <rPr>
            <sz val="9"/>
            <color indexed="81"/>
            <rFont val="Tahoma"/>
            <family val="2"/>
          </rPr>
          <t xml:space="preserve">
Figure is stated in ones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<sst xmlns="http://schemas.openxmlformats.org/spreadsheetml/2006/main" count="343" uniqueCount="223">
  <si>
    <t>Forecast</t>
  </si>
  <si>
    <t>Actuals</t>
  </si>
  <si>
    <t>Processing and services</t>
  </si>
  <si>
    <t>Product</t>
  </si>
  <si>
    <t>Total Revenue</t>
  </si>
  <si>
    <t>Cost of processing and services</t>
  </si>
  <si>
    <t>Cost of product</t>
  </si>
  <si>
    <t>SG&amp;A</t>
  </si>
  <si>
    <t>Net gain on sale of business and other assets</t>
  </si>
  <si>
    <t>Gross Profit</t>
  </si>
  <si>
    <t>EBITDA</t>
  </si>
  <si>
    <t>Interest expense</t>
  </si>
  <si>
    <t>Other Expense</t>
  </si>
  <si>
    <t>EBIT</t>
  </si>
  <si>
    <t>Income Tax Provision</t>
  </si>
  <si>
    <t>Net income</t>
  </si>
  <si>
    <t xml:space="preserve">Outstanding Shares </t>
  </si>
  <si>
    <t>EPS</t>
  </si>
  <si>
    <t>-</t>
  </si>
  <si>
    <t>Financial Ratios:</t>
  </si>
  <si>
    <t>Revenue Y/Y</t>
  </si>
  <si>
    <t>EBITDA Y/Y</t>
  </si>
  <si>
    <t>Net income Y/Y</t>
  </si>
  <si>
    <t>Gross Profit Y/Y</t>
  </si>
  <si>
    <t>SG&amp;A Y/Y</t>
  </si>
  <si>
    <t xml:space="preserve">(Loss) income from investments in unconsolidated affiliates </t>
  </si>
  <si>
    <t>Gross Profit Margin (% of Total Revenue)</t>
  </si>
  <si>
    <t>Operating Margin (% of Total Revenue)</t>
  </si>
  <si>
    <t>SG&amp;A Margin (% of Gross Profit)</t>
  </si>
  <si>
    <t>Balance Sheet</t>
  </si>
  <si>
    <t>Cash and cash equivalents</t>
  </si>
  <si>
    <t>Trade Accounts Receivable</t>
  </si>
  <si>
    <t>Prepaid expenses and other assets</t>
  </si>
  <si>
    <t>Settlement Assets</t>
  </si>
  <si>
    <t>Total Current Assets</t>
  </si>
  <si>
    <t>PP&amp;E</t>
  </si>
  <si>
    <t>Customer Relationships</t>
  </si>
  <si>
    <t>Other intangible assets</t>
  </si>
  <si>
    <t>Goodwill</t>
  </si>
  <si>
    <t>Contract Costs</t>
  </si>
  <si>
    <t>Investments in unconsolidated affiliates</t>
  </si>
  <si>
    <t xml:space="preserve">Other long-term assets </t>
  </si>
  <si>
    <t>Total Assets</t>
  </si>
  <si>
    <t>Accounts Payable and other current liabilities</t>
  </si>
  <si>
    <t>Short-term and current maturities of long-term debt</t>
  </si>
  <si>
    <t>Contract liabilities</t>
  </si>
  <si>
    <t>Settlement obligations</t>
  </si>
  <si>
    <t>Total Current Liabilities</t>
  </si>
  <si>
    <t>Long-Term Debt</t>
  </si>
  <si>
    <t>Deferred income taxes</t>
  </si>
  <si>
    <t>Long-term contract liabilities</t>
  </si>
  <si>
    <t>Other long-term liabilities</t>
  </si>
  <si>
    <t>Total Liabilities</t>
  </si>
  <si>
    <t>Redeemable noncontrolling interest</t>
  </si>
  <si>
    <t>Preferred stock</t>
  </si>
  <si>
    <t>Common stock : 784 million shares issued</t>
  </si>
  <si>
    <t>Additional paid-in capital</t>
  </si>
  <si>
    <t>Accumulated other comprehensive loss</t>
  </si>
  <si>
    <t>Retained earnings</t>
  </si>
  <si>
    <t>Treasury stock, at cost, 220 million and 190 million shares</t>
  </si>
  <si>
    <t>Total Shareholder's equity</t>
  </si>
  <si>
    <t xml:space="preserve">Non controlling interests </t>
  </si>
  <si>
    <t>Total Equity</t>
  </si>
  <si>
    <t>Total Liabilities and Equity</t>
  </si>
  <si>
    <t>Current Assets</t>
  </si>
  <si>
    <t>Long Term Assets</t>
  </si>
  <si>
    <t>Income Statement</t>
  </si>
  <si>
    <t>($ in millions unless otherwise stated)</t>
  </si>
  <si>
    <t>Model NI</t>
  </si>
  <si>
    <t>D&amp;A</t>
  </si>
  <si>
    <t>Cash Flow</t>
  </si>
  <si>
    <t>Amortization of acquisition-related intangible assets</t>
  </si>
  <si>
    <t>Amortization of financing costs and debt discounts</t>
  </si>
  <si>
    <t>Share-based compensation</t>
  </si>
  <si>
    <t>Net gain on sale of businesses</t>
  </si>
  <si>
    <t>Income (loss) from investments in unconsolidated affiliates</t>
  </si>
  <si>
    <t>Distributions from unconsolidated affiliates</t>
  </si>
  <si>
    <t>Non-cash settlement charge for terminated pension plans</t>
  </si>
  <si>
    <t>Non-cash foreign currency exchange loss</t>
  </si>
  <si>
    <t>Other operating activities</t>
  </si>
  <si>
    <t>Contract costs</t>
  </si>
  <si>
    <t>AP</t>
  </si>
  <si>
    <t>Net cash provided by operating activities</t>
  </si>
  <si>
    <t>Trade accounts receivable</t>
  </si>
  <si>
    <t>Balance</t>
  </si>
  <si>
    <t>Cash flows from operating activities:</t>
  </si>
  <si>
    <t>Cash flows from financing activities:</t>
  </si>
  <si>
    <t>Cash flows from investing activities:</t>
  </si>
  <si>
    <t>CAPEX, including capitzalized software and other intangibles</t>
  </si>
  <si>
    <t>Nett proceeds from sale of businesses and other assets</t>
  </si>
  <si>
    <t>Merchant cash advances, net</t>
  </si>
  <si>
    <t xml:space="preserve">Payments for acquisition of businesses, net of cash acquired </t>
  </si>
  <si>
    <t>Purchases of investments</t>
  </si>
  <si>
    <t>Proceeds from sale of investments</t>
  </si>
  <si>
    <t>Other investing activities</t>
  </si>
  <si>
    <t>Net cash provided  in investing activities</t>
  </si>
  <si>
    <t>Debt proceeds</t>
  </si>
  <si>
    <t>Debt repayments</t>
  </si>
  <si>
    <t>Net borrowings from (repayments of) commercial paper and short-term borrowings</t>
  </si>
  <si>
    <t>Payments of debt financing costs</t>
  </si>
  <si>
    <t>Proceeds from issuance of treasury stock</t>
  </si>
  <si>
    <t>Purchases of treasury stock, including employee shares withheld for tax obligations</t>
  </si>
  <si>
    <t>Settlement activity, net</t>
  </si>
  <si>
    <t>Distributions paid to NCI and redeemable NCI</t>
  </si>
  <si>
    <t>Payment to acquire NCI of consolidated subsidiary</t>
  </si>
  <si>
    <t>Payments of acquisition-related contigent consideration</t>
  </si>
  <si>
    <t>Other financing activities</t>
  </si>
  <si>
    <t>Net cash provided by financing activities:</t>
  </si>
  <si>
    <t xml:space="preserve">Effect of FOREX </t>
  </si>
  <si>
    <t>Net change in cash and cash equivalents</t>
  </si>
  <si>
    <t>Assumptions &amp; Drivers</t>
  </si>
  <si>
    <t>All figures in USD thousands unless indicated</t>
  </si>
  <si>
    <t>COGS</t>
  </si>
  <si>
    <t>Corporate tax rate</t>
  </si>
  <si>
    <t>CAPEX</t>
  </si>
  <si>
    <t>COGS Growth  Y/Y</t>
  </si>
  <si>
    <t>SG&amp;A Growth Y/Y</t>
  </si>
  <si>
    <t>After-tax income</t>
  </si>
  <si>
    <t>Revenue Growth Y/Y</t>
  </si>
  <si>
    <t>Debt Ratio</t>
  </si>
  <si>
    <t>Equity Ratio</t>
  </si>
  <si>
    <t>7.2 million shares of common stock for $1.0 billion in the third quarter and 29.1 million shares of common stock for $5.4 billion in the first nine months of 2025.</t>
  </si>
  <si>
    <t>The company completed a public offering of $2.0 billion of 5-year and 10-year senior notes with a weighted average coupon rate of 4.90%.</t>
  </si>
  <si>
    <t>available borrowing capacity to $8.0 billion through August 2030.</t>
  </si>
  <si>
    <t>Acquisitions</t>
  </si>
  <si>
    <t>StoneCastle enables its network of depository institutions to easily access stable, cost-efficient deposit funding.</t>
  </si>
  <si>
    <t xml:space="preserve"> The company also entered into a definitive agreement to acquire StoneCastle Cash Management</t>
  </si>
  <si>
    <t>In September 2025, the company acquired CardFree, Inc., an all-in-one platform delivering integrated order, payment and loyalty solutions for merchants</t>
  </si>
  <si>
    <t> Smith Consulting Group, LLC business, an operational consulting service utilized by community banks and credit unions.</t>
  </si>
  <si>
    <t>he Toronto-Dominion Bank’s merchant processing business in Canada, which expands the footprint of the company’s Clover® platform.</t>
  </si>
  <si>
    <t>The company also signed a multi-year strategic managed services program agreement with TD Bank to utilize the company’s technology, including Clover, within the TD Bank Merchant Solutions business.</t>
  </si>
  <si>
    <t>Cost of Processing Ratio</t>
  </si>
  <si>
    <t>Cost of Product Ratio</t>
  </si>
  <si>
    <t>Product Revenue Margin</t>
  </si>
  <si>
    <t>Processing Revenue Margin</t>
  </si>
  <si>
    <t>Operating Margin</t>
  </si>
  <si>
    <t>Gross profit margin</t>
  </si>
  <si>
    <t>Interest Coverage Ratio</t>
  </si>
  <si>
    <t>Depreciation &amp; Ammortization</t>
  </si>
  <si>
    <t>Depreciation &amp; Amortization</t>
  </si>
  <si>
    <t>Debt issuance repayment</t>
  </si>
  <si>
    <t>CAPEX (% of Revenue)</t>
  </si>
  <si>
    <t>Model changes in working capital:</t>
  </si>
  <si>
    <t>10K changes in working capital:</t>
  </si>
  <si>
    <t>Weighted average interest rate for debt</t>
  </si>
  <si>
    <t>Other current assets</t>
  </si>
  <si>
    <t>Discounted Cash Flow</t>
  </si>
  <si>
    <t>DCF Model</t>
  </si>
  <si>
    <t>Cost of Debt</t>
  </si>
  <si>
    <t>Cost of Equity</t>
  </si>
  <si>
    <t>Tax Rate</t>
  </si>
  <si>
    <t>Perpetual Growth Rate</t>
  </si>
  <si>
    <t>Current Price</t>
  </si>
  <si>
    <t>Shares outstanding</t>
  </si>
  <si>
    <t>Assumptions</t>
  </si>
  <si>
    <t>EBT</t>
  </si>
  <si>
    <t>Interest</t>
  </si>
  <si>
    <t>Deperation and Ammortization</t>
  </si>
  <si>
    <t>NWC</t>
  </si>
  <si>
    <t>Unleverred FCF</t>
  </si>
  <si>
    <t>Entry/Exit</t>
  </si>
  <si>
    <t>NET FCF</t>
  </si>
  <si>
    <t>IRR</t>
  </si>
  <si>
    <t>Present Value</t>
  </si>
  <si>
    <t>Operating Expenses</t>
  </si>
  <si>
    <t>Working Capital (% of OPEX)</t>
  </si>
  <si>
    <t>Termianl Value</t>
  </si>
  <si>
    <t>Perpetual Growth</t>
  </si>
  <si>
    <t>EBITDA multiple</t>
  </si>
  <si>
    <t>Enterprise Value</t>
  </si>
  <si>
    <t>Cash</t>
  </si>
  <si>
    <t>Debt</t>
  </si>
  <si>
    <t>EBITDA Multiple</t>
  </si>
  <si>
    <t>Equity Value</t>
  </si>
  <si>
    <t>Equity Value/Share</t>
  </si>
  <si>
    <t>Intrinsic Value</t>
  </si>
  <si>
    <t>Market Value</t>
  </si>
  <si>
    <t>Market Cap</t>
  </si>
  <si>
    <t>EV</t>
  </si>
  <si>
    <t>Rate of Retun</t>
  </si>
  <si>
    <t>Share price</t>
  </si>
  <si>
    <t>Target Price</t>
  </si>
  <si>
    <t>Target Price Upsaide</t>
  </si>
  <si>
    <t>Johann Somosa</t>
  </si>
  <si>
    <t>Fiserv Inc.</t>
  </si>
  <si>
    <t>Share Price</t>
  </si>
  <si>
    <t>Live Case</t>
  </si>
  <si>
    <t>Worst Case</t>
  </si>
  <si>
    <t>Best Case</t>
  </si>
  <si>
    <t>Cases</t>
  </si>
  <si>
    <t xml:space="preserve">FISERV's 2025 Expectations </t>
  </si>
  <si>
    <t>Supporting Schedule</t>
  </si>
  <si>
    <t>Working Capital Schedule</t>
  </si>
  <si>
    <t>Changes in NWC</t>
  </si>
  <si>
    <t>Net Working Capital (NWC)</t>
  </si>
  <si>
    <t>Increased credit borrowing</t>
  </si>
  <si>
    <t>Increased finance</t>
  </si>
  <si>
    <t>Shares buyback program</t>
  </si>
  <si>
    <t>Fiserv</t>
  </si>
  <si>
    <t>Business</t>
  </si>
  <si>
    <t>Enterprise</t>
  </si>
  <si>
    <t>Processing</t>
  </si>
  <si>
    <t>Merchants</t>
  </si>
  <si>
    <t>Financial</t>
  </si>
  <si>
    <t>Small business</t>
  </si>
  <si>
    <t>Digital Payments</t>
  </si>
  <si>
    <t>Issuing</t>
  </si>
  <si>
    <t>Banking</t>
  </si>
  <si>
    <t>Products &amp; Services</t>
  </si>
  <si>
    <t>Segment</t>
  </si>
  <si>
    <t>Target Market</t>
  </si>
  <si>
    <t>Small businesses and independent software vendors</t>
  </si>
  <si>
    <t>CLOVER, POS, AND business management platform</t>
  </si>
  <si>
    <t>Large businesses</t>
  </si>
  <si>
    <t>integregrated omnichannel operating systems (OS)</t>
  </si>
  <si>
    <t>Financial Institutions, joint venture</t>
  </si>
  <si>
    <t>Partner technology tools to enable real-time access to portfolio activity and pricing management</t>
  </si>
  <si>
    <t>financial institutions, corporate, and public sector clients</t>
  </si>
  <si>
    <t>debit card processing services, debit network services, security and fraud protection products, bill payments, P2P payments, and account-to-account transfers</t>
  </si>
  <si>
    <t>credit card processing services, prepaid card processing services, card production services, print services, government payment processing, and student loan processing</t>
  </si>
  <si>
    <t>customer loans, and deposit account processing, digital banking , financial and risk management, professional services and consulting, and check processing</t>
  </si>
  <si>
    <t>Outstanding Shares</t>
  </si>
  <si>
    <t>Market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</si>
</sst>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F&quot;Y&quot;yy"/>
    <numFmt numFmtId="165" formatCode="0.0%"/>
  </numFmts>
  <fonts count="24">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theme="3" tint="0.249977111117893"/>
      <name val="Aptos Narrow"/>
      <family val="2"/>
      <scheme val="minor"/>
    </font>
    <font>
      <b/>
      <sz val="11"/>
      <color theme="3" tint="0.249977111117893"/>
      <name val="Aptos Narrow"/>
      <family val="2"/>
      <scheme val="minor"/>
    </font>
    <font>
      <b/>
      <sz val="18"/>
      <color theme="1" tint="0.14999847407452621"/>
      <name val="Aptos Narrow"/>
      <family val="2"/>
      <scheme val="minor"/>
    </font>
    <font>
      <i/>
      <sz val="12"/>
      <color theme="1"/>
      <name val="Aptos Narrow"/>
      <family val="2"/>
      <scheme val="minor"/>
    </font>
    <font>
      <b/>
      <sz val="12"/>
      <color theme="1" tint="0.14999847407452621"/>
      <name val="Aptos Narrow"/>
      <family val="2"/>
      <scheme val="minor"/>
    </font>
    <font>
      <b/>
      <sz val="16"/>
      <color theme="1"/>
      <name val="Aptos Narrow"/>
      <family val="2"/>
      <scheme val="minor"/>
    </font>
    <font>
      <sz val="9"/>
      <color indexed="81"/>
      <name val="Tahoma"/>
      <family val="2"/>
    </font>
    <font>
      <b/>
      <sz val="9"/>
      <color indexed="81"/>
      <name val="Tahoma"/>
      <family val="2"/>
    </font>
    <font>
      <sz val="12"/>
      <color rgb="FF393939"/>
      <name val="Univers Fiserv"/>
    </font>
    <font>
      <sz val="9"/>
      <color indexed="81"/>
      <name val="Tahoma"/>
      <charset val="1"/>
    </font>
    <font>
      <b/>
      <sz val="9"/>
      <color indexed="81"/>
      <name val="Tahoma"/>
      <charset val="1"/>
    </font>
    <font>
      <b/>
      <sz val="12"/>
      <color rgb="FF393939"/>
      <name val="Univers Fiserv"/>
    </font>
    <font>
      <b/>
      <sz val="12"/>
      <color theme="1"/>
      <name val="Aptos Narrow"/>
      <family val="2"/>
      <scheme val="minor"/>
    </font>
    <font>
      <b/>
      <sz val="12"/>
      <color theme="1"/>
      <name val="Univers Fiserv"/>
    </font>
    <font>
      <b/>
      <sz val="30"/>
      <color theme="0"/>
      <name val="Aptos Narrow"/>
      <family val="2"/>
      <scheme val="minor"/>
    </font>
    <font>
      <sz val="12"/>
      <color theme="0"/>
      <name val="Aptos Narrow"/>
      <family val="2"/>
      <scheme val="minor"/>
    </font>
    <font>
      <sz val="24"/>
      <color theme="0"/>
      <name val="Aptos Narrow"/>
      <family val="2"/>
      <scheme val="minor"/>
    </font>
    <font>
      <sz val="11"/>
      <color theme="3" tint="0.499984740745262"/>
      <name val="Aptos Narrow"/>
      <family val="2"/>
      <scheme val="minor"/>
    </font>
    <font>
      <sz val="11"/>
      <name val="Aptos Narrow"/>
      <family val="2"/>
      <scheme val="minor"/>
    </font>
    <font>
      <sz val="12"/>
      <color theme="1"/>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2"/>
        <bgColor indexed="64"/>
      </patternFill>
    </fill>
    <fill>
      <patternFill patternType="solid">
        <fgColor theme="5" tint="0.59999389629810485"/>
        <bgColor indexed="64"/>
      </patternFill>
    </fill>
    <fill>
      <patternFill patternType="solid">
        <fgColor rgb="FFFF6600"/>
        <bgColor indexed="64"/>
      </patternFill>
    </fill>
    <fill>
      <patternFill patternType="solid">
        <fgColor theme="5" tint="0.79998168889431442"/>
        <bgColor indexed="64"/>
      </patternFill>
    </fill>
    <fill>
      <patternFill patternType="solid">
        <fgColor rgb="FF00B0F0"/>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dotted">
        <color auto="1"/>
      </left>
      <right style="dotted">
        <color auto="1"/>
      </right>
      <top style="dotted">
        <color auto="1"/>
      </top>
      <bottom style="dotted">
        <color auto="1"/>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07">
    <xf numFmtId="0" fontId="0" fillId="0" borderId="0" xfId="0"/>
    <xf numFmtId="0" fontId="2" fillId="0" borderId="0" xfId="0" applyFont="1"/>
    <xf numFmtId="37" fontId="0" fillId="0" borderId="0" xfId="0" applyNumberFormat="1"/>
    <xf numFmtId="0" fontId="3" fillId="0" borderId="0" xfId="0" applyFont="1"/>
    <xf numFmtId="0" fontId="2" fillId="4" borderId="1" xfId="0" applyFont="1" applyFill="1" applyBorder="1"/>
    <xf numFmtId="0" fontId="2" fillId="5" borderId="0" xfId="0" applyFont="1" applyFill="1"/>
    <xf numFmtId="0" fontId="0" fillId="5" borderId="0" xfId="0" applyFill="1"/>
    <xf numFmtId="0" fontId="0" fillId="0" borderId="0" xfId="0" applyAlignment="1">
      <alignment horizontal="center"/>
    </xf>
    <xf numFmtId="0" fontId="0" fillId="0" borderId="2" xfId="0" applyBorder="1"/>
    <xf numFmtId="164" fontId="6" fillId="6" borderId="0" xfId="0" applyNumberFormat="1" applyFont="1" applyFill="1"/>
    <xf numFmtId="0" fontId="7" fillId="0" borderId="0" xfId="0" applyFont="1" applyAlignment="1">
      <alignment horizontal="left" indent="1"/>
    </xf>
    <xf numFmtId="0" fontId="9" fillId="5" borderId="0" xfId="0" applyFont="1" applyFill="1"/>
    <xf numFmtId="0" fontId="12" fillId="0" borderId="0" xfId="0" applyFont="1"/>
    <xf numFmtId="0" fontId="0" fillId="0" borderId="0" xfId="0" applyAlignment="1">
      <alignment horizontal="right"/>
    </xf>
    <xf numFmtId="165" fontId="0" fillId="0" borderId="0" xfId="1" applyNumberFormat="1" applyFont="1" applyAlignment="1">
      <alignment horizontal="right"/>
    </xf>
    <xf numFmtId="9" fontId="0" fillId="0" borderId="0" xfId="0" applyNumberFormat="1" applyAlignment="1">
      <alignment horizontal="right"/>
    </xf>
    <xf numFmtId="165" fontId="0" fillId="0" borderId="0" xfId="0" applyNumberFormat="1" applyAlignment="1">
      <alignment horizontal="right"/>
    </xf>
    <xf numFmtId="9" fontId="0" fillId="0" borderId="0" xfId="1" applyFont="1" applyAlignment="1">
      <alignment horizontal="right"/>
    </xf>
    <xf numFmtId="2" fontId="0" fillId="0" borderId="0" xfId="1" applyNumberFormat="1" applyFont="1" applyAlignment="1">
      <alignment horizontal="right"/>
    </xf>
    <xf numFmtId="0" fontId="0" fillId="5" borderId="0" xfId="0" applyFill="1" applyAlignment="1">
      <alignment horizontal="right"/>
    </xf>
    <xf numFmtId="164" fontId="0" fillId="3" borderId="0" xfId="0" applyNumberFormat="1" applyFill="1" applyAlignment="1">
      <alignment horizontal="right"/>
    </xf>
    <xf numFmtId="37" fontId="4" fillId="0" borderId="0" xfId="0" applyNumberFormat="1" applyFont="1" applyAlignment="1">
      <alignment horizontal="right"/>
    </xf>
    <xf numFmtId="37" fontId="0" fillId="0" borderId="0" xfId="0" applyNumberFormat="1" applyAlignment="1">
      <alignment horizontal="right"/>
    </xf>
    <xf numFmtId="0" fontId="2" fillId="0" borderId="0" xfId="0" applyFont="1" applyAlignment="1">
      <alignment horizontal="right"/>
    </xf>
    <xf numFmtId="37" fontId="2" fillId="0" borderId="0" xfId="0" applyNumberFormat="1" applyFont="1" applyAlignment="1">
      <alignment horizontal="right"/>
    </xf>
    <xf numFmtId="0" fontId="2" fillId="4" borderId="1" xfId="0" applyFont="1" applyFill="1" applyBorder="1" applyAlignment="1">
      <alignment horizontal="right"/>
    </xf>
    <xf numFmtId="37" fontId="2" fillId="4" borderId="1" xfId="0" applyNumberFormat="1" applyFont="1" applyFill="1" applyBorder="1" applyAlignment="1">
      <alignment horizontal="right"/>
    </xf>
    <xf numFmtId="39" fontId="2" fillId="0" borderId="0" xfId="0" applyNumberFormat="1" applyFont="1" applyAlignment="1">
      <alignment horizontal="right"/>
    </xf>
    <xf numFmtId="37" fontId="5" fillId="0" borderId="0" xfId="0" applyNumberFormat="1" applyFont="1" applyAlignment="1">
      <alignment horizontal="right"/>
    </xf>
    <xf numFmtId="164" fontId="0" fillId="0" borderId="0" xfId="0" applyNumberFormat="1" applyAlignment="1">
      <alignment horizontal="right"/>
    </xf>
    <xf numFmtId="164" fontId="0" fillId="3" borderId="0" xfId="0" applyNumberFormat="1" applyFill="1" applyAlignment="1">
      <alignment horizontal="center"/>
    </xf>
    <xf numFmtId="165" fontId="0" fillId="0" borderId="0" xfId="0" applyNumberFormat="1"/>
    <xf numFmtId="9" fontId="0" fillId="0" borderId="0" xfId="1" applyFont="1"/>
    <xf numFmtId="9" fontId="0" fillId="0" borderId="0" xfId="0" applyNumberFormat="1"/>
    <xf numFmtId="0" fontId="9" fillId="0" borderId="0" xfId="0" applyFont="1"/>
    <xf numFmtId="0" fontId="0" fillId="0" borderId="3" xfId="0" applyBorder="1"/>
    <xf numFmtId="0" fontId="2" fillId="0" borderId="3" xfId="0" applyFont="1" applyBorder="1"/>
    <xf numFmtId="0" fontId="15" fillId="0" borderId="0" xfId="0" applyFont="1"/>
    <xf numFmtId="37" fontId="0" fillId="0" borderId="0" xfId="0" applyNumberFormat="1" applyFont="1" applyAlignment="1">
      <alignment horizontal="right"/>
    </xf>
    <xf numFmtId="0" fontId="9" fillId="6" borderId="0" xfId="0" applyFont="1" applyFill="1"/>
    <xf numFmtId="0" fontId="0" fillId="6" borderId="0" xfId="0" applyFill="1"/>
    <xf numFmtId="0" fontId="0" fillId="6" borderId="0" xfId="0" applyFill="1" applyAlignment="1">
      <alignment horizontal="right"/>
    </xf>
    <xf numFmtId="164" fontId="0" fillId="6" borderId="0" xfId="0" applyNumberFormat="1" applyFill="1" applyAlignment="1">
      <alignment horizontal="right"/>
    </xf>
    <xf numFmtId="0" fontId="15" fillId="0" borderId="0" xfId="0" applyFont="1" applyBorder="1"/>
    <xf numFmtId="2" fontId="0" fillId="0" borderId="0" xfId="0" applyNumberFormat="1"/>
    <xf numFmtId="0" fontId="16" fillId="0" borderId="0" xfId="0" applyFont="1"/>
    <xf numFmtId="0" fontId="17" fillId="0" borderId="3" xfId="0" applyFont="1" applyBorder="1"/>
    <xf numFmtId="9" fontId="0" fillId="0" borderId="0" xfId="0" quotePrefix="1" applyNumberFormat="1"/>
    <xf numFmtId="37" fontId="0" fillId="0" borderId="2" xfId="0" applyNumberFormat="1" applyBorder="1"/>
    <xf numFmtId="9" fontId="0" fillId="0" borderId="2" xfId="0" applyNumberFormat="1" applyBorder="1"/>
    <xf numFmtId="1" fontId="0" fillId="0" borderId="2" xfId="0" applyNumberFormat="1" applyBorder="1"/>
    <xf numFmtId="0" fontId="12" fillId="0" borderId="0" xfId="0" applyFont="1" applyBorder="1"/>
    <xf numFmtId="37" fontId="0" fillId="0" borderId="2" xfId="2" applyNumberFormat="1" applyFont="1" applyFill="1" applyBorder="1"/>
    <xf numFmtId="0" fontId="0" fillId="0" borderId="0" xfId="0" applyFont="1"/>
    <xf numFmtId="2" fontId="2" fillId="4" borderId="0" xfId="0" applyNumberFormat="1" applyFont="1" applyFill="1"/>
    <xf numFmtId="2" fontId="2" fillId="2" borderId="0" xfId="0" applyNumberFormat="1" applyFont="1" applyFill="1"/>
    <xf numFmtId="0" fontId="0" fillId="0" borderId="0" xfId="0" applyFill="1"/>
    <xf numFmtId="0" fontId="0" fillId="0" borderId="0" xfId="0" applyFill="1" applyAlignment="1">
      <alignment horizontal="right"/>
    </xf>
    <xf numFmtId="0" fontId="2" fillId="4" borderId="2" xfId="0" applyFont="1" applyFill="1" applyBorder="1"/>
    <xf numFmtId="0" fontId="0" fillId="4" borderId="2" xfId="0" applyFill="1" applyBorder="1"/>
    <xf numFmtId="0" fontId="0" fillId="4" borderId="2" xfId="0" applyFill="1" applyBorder="1" applyAlignment="1">
      <alignment horizontal="right"/>
    </xf>
    <xf numFmtId="37" fontId="2" fillId="4" borderId="2" xfId="0" applyNumberFormat="1" applyFont="1" applyFill="1" applyBorder="1" applyAlignment="1">
      <alignment horizontal="right"/>
    </xf>
    <xf numFmtId="0" fontId="2" fillId="4" borderId="2" xfId="0" applyFont="1" applyFill="1" applyBorder="1" applyAlignment="1">
      <alignment horizontal="right"/>
    </xf>
    <xf numFmtId="0" fontId="2" fillId="4" borderId="0" xfId="0" applyFont="1" applyFill="1"/>
    <xf numFmtId="0" fontId="2" fillId="4" borderId="0" xfId="0" applyFont="1" applyFill="1" applyAlignment="1">
      <alignment horizontal="right"/>
    </xf>
    <xf numFmtId="37" fontId="2" fillId="4" borderId="0" xfId="0" applyNumberFormat="1" applyFont="1" applyFill="1" applyAlignment="1">
      <alignment horizontal="right"/>
    </xf>
    <xf numFmtId="37" fontId="0" fillId="0" borderId="0" xfId="0" applyNumberFormat="1" applyFill="1" applyAlignment="1">
      <alignment horizontal="right"/>
    </xf>
    <xf numFmtId="0" fontId="2" fillId="0" borderId="0" xfId="0" applyFont="1" applyAlignment="1">
      <alignment horizontal="left"/>
    </xf>
    <xf numFmtId="14" fontId="0" fillId="0" borderId="0" xfId="0" applyNumberFormat="1"/>
    <xf numFmtId="6" fontId="12" fillId="0" borderId="0" xfId="0" applyNumberFormat="1" applyFont="1"/>
    <xf numFmtId="9" fontId="21" fillId="0" borderId="0" xfId="0" applyNumberFormat="1" applyFont="1" applyAlignment="1">
      <alignment horizontal="right"/>
    </xf>
    <xf numFmtId="165" fontId="21" fillId="0" borderId="0" xfId="1" applyNumberFormat="1" applyFont="1" applyAlignment="1">
      <alignment horizontal="right"/>
    </xf>
    <xf numFmtId="9" fontId="21" fillId="0" borderId="0" xfId="1" applyFont="1" applyAlignment="1">
      <alignment horizontal="right"/>
    </xf>
    <xf numFmtId="0" fontId="21" fillId="0" borderId="0" xfId="0" applyFont="1" applyAlignment="1">
      <alignment horizontal="right"/>
    </xf>
    <xf numFmtId="1" fontId="22" fillId="0" borderId="0" xfId="0" applyNumberFormat="1" applyFont="1" applyAlignment="1">
      <alignment horizontal="right"/>
    </xf>
    <xf numFmtId="37" fontId="22" fillId="0" borderId="0" xfId="0" applyNumberFormat="1" applyFont="1" applyAlignment="1">
      <alignment horizontal="right"/>
    </xf>
    <xf numFmtId="0" fontId="0" fillId="3" borderId="4" xfId="0" applyFill="1" applyBorder="1"/>
    <xf numFmtId="9" fontId="22" fillId="0" borderId="0" xfId="0" applyNumberFormat="1" applyFont="1" applyAlignment="1">
      <alignment horizontal="right"/>
    </xf>
    <xf numFmtId="165" fontId="22" fillId="0" borderId="0" xfId="1" applyNumberFormat="1" applyFont="1" applyAlignment="1">
      <alignment horizontal="right"/>
    </xf>
    <xf numFmtId="9" fontId="22" fillId="0" borderId="0" xfId="1" applyFont="1" applyAlignment="1">
      <alignment horizontal="right"/>
    </xf>
    <xf numFmtId="0" fontId="2" fillId="0" borderId="0" xfId="0" applyFont="1" applyBorder="1"/>
    <xf numFmtId="0" fontId="0" fillId="0" borderId="0" xfId="0" applyBorder="1"/>
    <xf numFmtId="0" fontId="9" fillId="0" borderId="0" xfId="0" applyFont="1" applyFill="1"/>
    <xf numFmtId="0" fontId="0" fillId="0" borderId="2" xfId="0" applyFont="1" applyBorder="1"/>
    <xf numFmtId="0" fontId="23" fillId="7" borderId="0" xfId="0" applyFont="1" applyFill="1"/>
    <xf numFmtId="0" fontId="9" fillId="7" borderId="0" xfId="0" applyFont="1" applyFill="1"/>
    <xf numFmtId="0" fontId="23" fillId="7" borderId="0" xfId="0" applyFont="1" applyFill="1" applyAlignment="1">
      <alignment vertical="center"/>
    </xf>
    <xf numFmtId="0" fontId="20" fillId="0" borderId="0" xfId="0" applyFont="1" applyFill="1" applyAlignment="1">
      <alignment vertical="center"/>
    </xf>
    <xf numFmtId="0" fontId="18" fillId="0" borderId="0" xfId="0" applyFont="1" applyFill="1" applyAlignment="1">
      <alignment vertical="center"/>
    </xf>
    <xf numFmtId="0" fontId="19" fillId="0" borderId="0" xfId="0" applyFont="1" applyFill="1"/>
    <xf numFmtId="0" fontId="20" fillId="0" borderId="0" xfId="0" applyFont="1" applyFill="1" applyAlignment="1">
      <alignment horizontal="center" vertical="center"/>
    </xf>
    <xf numFmtId="0" fontId="3" fillId="0" borderId="0" xfId="0" applyFont="1" applyFill="1"/>
    <xf numFmtId="0" fontId="0" fillId="0" borderId="0" xfId="0" applyFill="1" applyAlignment="1">
      <alignment horizontal="center"/>
    </xf>
    <xf numFmtId="2" fontId="0" fillId="0" borderId="0" xfId="0" applyNumberFormat="1" applyFill="1" applyAlignment="1">
      <alignment horizontal="center"/>
    </xf>
    <xf numFmtId="0" fontId="0" fillId="0" borderId="0" xfId="0" applyFill="1" applyBorder="1"/>
    <xf numFmtId="0" fontId="12" fillId="0" borderId="0" xfId="0" applyFont="1" applyAlignment="1">
      <alignment horizontal="center" wrapText="1"/>
    </xf>
    <xf numFmtId="0" fontId="12" fillId="0" borderId="0" xfId="0" applyFont="1" applyAlignment="1">
      <alignment horizontal="center" vertical="center" wrapText="1"/>
    </xf>
    <xf numFmtId="0" fontId="0" fillId="0" borderId="0" xfId="0" applyAlignment="1">
      <alignment horizontal="center" vertical="center" wrapText="1"/>
    </xf>
    <xf numFmtId="0" fontId="18" fillId="8" borderId="0" xfId="0" applyFont="1" applyFill="1" applyAlignment="1">
      <alignment vertical="center"/>
    </xf>
    <xf numFmtId="0" fontId="19" fillId="8" borderId="0" xfId="0" applyFont="1" applyFill="1"/>
    <xf numFmtId="0" fontId="20" fillId="8" borderId="0" xfId="0" applyFont="1" applyFill="1" applyAlignment="1">
      <alignment horizontal="center" vertical="center"/>
    </xf>
    <xf numFmtId="164" fontId="8" fillId="9" borderId="0" xfId="0" applyNumberFormat="1" applyFont="1" applyFill="1" applyAlignment="1">
      <alignment horizontal="center" vertical="center"/>
    </xf>
    <xf numFmtId="164" fontId="8" fillId="10" borderId="0" xfId="0" applyNumberFormat="1" applyFont="1" applyFill="1" applyAlignment="1">
      <alignment horizontal="center" vertical="center"/>
    </xf>
    <xf numFmtId="164" fontId="0" fillId="9" borderId="0" xfId="0" applyNumberFormat="1" applyFill="1" applyAlignment="1">
      <alignment horizontal="center"/>
    </xf>
    <xf numFmtId="164" fontId="22" fillId="10" borderId="0" xfId="0" applyNumberFormat="1" applyFont="1" applyFill="1" applyAlignment="1">
      <alignment horizontal="center"/>
    </xf>
    <xf numFmtId="0" fontId="2" fillId="0" borderId="0" xfId="0" applyFont="1" applyAlignment="1">
      <alignment horizontal="center"/>
    </xf>
    <xf numFmtId="2" fontId="2" fillId="3" borderId="0" xfId="0" applyNumberFormat="1" applyFont="1" applyFill="1" applyAlignment="1">
      <alignment horizontal="center"/>
    </xf>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3EB02-0913-4B02-8447-D0C09B7B924D}">
  <dimension ref="A1:S265"/>
  <sheetViews>
    <sheetView topLeftCell="A207" zoomScale="70" zoomScaleNormal="70" workbookViewId="0">
      <selection activeCell="C262" sqref="C262"/>
    </sheetView>
  </sheetViews>
  <sheetFormatPr defaultRowHeight="15"/>
  <cols>
    <col min="2" max="2" width="47.7109375" customWidth="1"/>
    <col min="3" max="3" width="12.42578125" bestFit="1" customWidth="1"/>
    <col min="4" max="5" width="11.5703125" bestFit="1" customWidth="1"/>
    <col min="6" max="6" width="23.85546875" bestFit="1" customWidth="1"/>
    <col min="7" max="7" width="16.85546875" bestFit="1" customWidth="1"/>
    <col min="8" max="8" width="11.28515625" bestFit="1" customWidth="1"/>
    <col min="9" max="9" width="14.85546875" bestFit="1" customWidth="1"/>
    <col min="10" max="10" width="21.42578125" bestFit="1" customWidth="1"/>
    <col min="11" max="11" width="14.85546875" bestFit="1" customWidth="1"/>
    <col min="12" max="14" width="16" bestFit="1" customWidth="1"/>
    <col min="15" max="15" width="8.85546875" customWidth="1"/>
  </cols>
  <sheetData>
    <row r="1" spans="2:17" ht="39">
      <c r="B1" s="98" t="s">
        <v>184</v>
      </c>
      <c r="C1" s="98"/>
      <c r="D1" s="98"/>
      <c r="E1" s="98"/>
      <c r="F1" s="98"/>
      <c r="G1" s="98"/>
      <c r="H1" s="98"/>
      <c r="I1" s="98"/>
      <c r="J1" s="99"/>
      <c r="K1" s="99"/>
      <c r="L1" s="100" t="s">
        <v>183</v>
      </c>
      <c r="M1" s="100"/>
      <c r="N1" s="100"/>
      <c r="O1" s="87"/>
    </row>
    <row r="2" spans="2:17" s="56" customFormat="1" ht="23.25" customHeight="1">
      <c r="B2" s="88"/>
      <c r="C2" s="88"/>
      <c r="D2" s="88"/>
      <c r="E2" s="88"/>
      <c r="F2" s="88"/>
      <c r="G2" s="88"/>
      <c r="H2" s="88"/>
      <c r="I2" s="88"/>
      <c r="J2" s="89"/>
      <c r="K2" s="89"/>
      <c r="L2" s="90"/>
      <c r="M2" s="90"/>
      <c r="N2" s="90"/>
      <c r="O2" s="87"/>
    </row>
    <row r="3" spans="2:17">
      <c r="C3" s="3" t="s">
        <v>186</v>
      </c>
      <c r="D3" s="76">
        <v>1</v>
      </c>
      <c r="F3" s="105" t="s">
        <v>185</v>
      </c>
      <c r="G3" s="106">
        <f>C265</f>
        <v>158.81341547105976</v>
      </c>
      <c r="H3" s="7"/>
      <c r="I3" s="7"/>
      <c r="J3" s="7"/>
      <c r="K3" s="7"/>
      <c r="L3" s="7"/>
      <c r="M3" s="7"/>
      <c r="N3" s="7"/>
    </row>
    <row r="4" spans="2:17" s="56" customFormat="1">
      <c r="C4" s="91"/>
      <c r="D4" s="94"/>
      <c r="F4" s="92"/>
      <c r="G4" s="93"/>
      <c r="H4" s="92"/>
      <c r="I4" s="92"/>
      <c r="J4" s="92"/>
      <c r="K4" s="92"/>
      <c r="L4" s="92"/>
      <c r="M4" s="92"/>
      <c r="N4" s="92"/>
    </row>
    <row r="5" spans="2:17" ht="24">
      <c r="B5" s="9" t="s">
        <v>110</v>
      </c>
      <c r="C5" s="9"/>
      <c r="D5" s="9"/>
      <c r="E5" s="9"/>
      <c r="F5" s="101" t="s">
        <v>1</v>
      </c>
      <c r="G5" s="101"/>
      <c r="H5" s="101"/>
      <c r="I5" s="102" t="s">
        <v>0</v>
      </c>
      <c r="J5" s="102"/>
      <c r="K5" s="102"/>
      <c r="L5" s="102"/>
      <c r="M5" s="102"/>
      <c r="N5" s="102"/>
      <c r="O5" s="56"/>
      <c r="P5" s="56"/>
      <c r="Q5" s="56"/>
    </row>
    <row r="6" spans="2:17" ht="15.75">
      <c r="B6" s="10" t="s">
        <v>111</v>
      </c>
      <c r="C6" s="10"/>
      <c r="F6" s="30">
        <v>44926</v>
      </c>
      <c r="G6" s="30">
        <f t="shared" ref="G6:N6" si="0">EOMONTH(F6,12)</f>
        <v>45291</v>
      </c>
      <c r="H6" s="30">
        <f t="shared" si="0"/>
        <v>45657</v>
      </c>
      <c r="I6" s="30">
        <f t="shared" si="0"/>
        <v>46022</v>
      </c>
      <c r="J6" s="30">
        <f t="shared" si="0"/>
        <v>46387</v>
      </c>
      <c r="K6" s="30">
        <f t="shared" si="0"/>
        <v>46752</v>
      </c>
      <c r="L6" s="30">
        <f t="shared" si="0"/>
        <v>47118</v>
      </c>
      <c r="M6" s="30">
        <f t="shared" si="0"/>
        <v>47483</v>
      </c>
      <c r="N6" s="30">
        <f t="shared" si="0"/>
        <v>47848</v>
      </c>
    </row>
    <row r="7" spans="2:17">
      <c r="F7" s="7"/>
      <c r="G7" s="7"/>
      <c r="H7" s="7"/>
      <c r="I7" s="7"/>
      <c r="J7" s="7"/>
      <c r="K7" s="7"/>
      <c r="L7" s="7"/>
      <c r="M7" s="7"/>
      <c r="N7" s="7"/>
    </row>
    <row r="8" spans="2:17" ht="17.25" customHeight="1">
      <c r="E8" s="13"/>
      <c r="F8" s="13"/>
      <c r="G8" s="13"/>
      <c r="H8" s="13"/>
      <c r="I8" s="13"/>
      <c r="J8" s="13"/>
      <c r="K8" s="13"/>
      <c r="L8" s="13"/>
      <c r="M8" s="13"/>
      <c r="N8" s="13"/>
    </row>
    <row r="9" spans="2:17" ht="21">
      <c r="B9" s="85" t="s">
        <v>186</v>
      </c>
      <c r="F9" s="7"/>
      <c r="G9" s="7"/>
      <c r="H9" s="7"/>
      <c r="I9" s="7"/>
      <c r="J9" s="7"/>
      <c r="K9" s="7"/>
      <c r="L9" s="7"/>
      <c r="M9" s="7"/>
      <c r="N9" s="7"/>
    </row>
    <row r="10" spans="2:17" ht="17.25" customHeight="1">
      <c r="B10" t="s">
        <v>118</v>
      </c>
      <c r="E10" s="13"/>
      <c r="F10" s="13"/>
      <c r="G10" s="14">
        <f>(G66-F66)/F66</f>
        <v>7.6450358008682412E-2</v>
      </c>
      <c r="H10" s="14">
        <f>(H66-G66)/G66</f>
        <v>7.1387419473105326E-2</v>
      </c>
      <c r="I10" s="77">
        <f>CHOOSE($D$3,I29,I40,I52)</f>
        <v>0.04</v>
      </c>
      <c r="J10" s="77">
        <f>CHOOSE($D$3,J29,J40,J52)</f>
        <v>0.05</v>
      </c>
      <c r="K10" s="77">
        <f>CHOOSE($D$3,K29,K40,K52)</f>
        <v>0.05</v>
      </c>
      <c r="L10" s="77">
        <f>CHOOSE($D$3,L29,L40,L52)</f>
        <v>0.06</v>
      </c>
      <c r="M10" s="77">
        <f>CHOOSE($D$3,M29,M40,M52)</f>
        <v>0.08</v>
      </c>
      <c r="N10" s="77">
        <f>CHOOSE($D$3,N29,N40,N52)</f>
        <v>0.08</v>
      </c>
    </row>
    <row r="11" spans="2:17" ht="17.25" customHeight="1">
      <c r="B11" t="s">
        <v>115</v>
      </c>
      <c r="E11" s="13"/>
      <c r="F11" s="13"/>
      <c r="G11" s="14">
        <f>(G69-F69)/F69</f>
        <v>3.8470398525685325E-2</v>
      </c>
      <c r="H11" s="14">
        <f>(H69-G69)/G69</f>
        <v>7.4534161490683232E-2</v>
      </c>
      <c r="I11" s="78">
        <f>CHOOSE($D$3,I30,I41,I53)</f>
        <v>0.04</v>
      </c>
      <c r="J11" s="78">
        <f>CHOOSE($D$3,J30,J41,J53)</f>
        <v>0.04</v>
      </c>
      <c r="K11" s="78">
        <f>CHOOSE($D$3,K30,K41,K53)</f>
        <v>0.04</v>
      </c>
      <c r="L11" s="78">
        <f>CHOOSE($D$3,L30,L41,L53)</f>
        <v>0.04</v>
      </c>
      <c r="M11" s="78">
        <f>CHOOSE($D$3,M30,M41,M53)</f>
        <v>0.04</v>
      </c>
      <c r="N11" s="78">
        <f>CHOOSE($D$3,N30,N41,N53)</f>
        <v>0.04</v>
      </c>
    </row>
    <row r="12" spans="2:17" ht="17.25" customHeight="1">
      <c r="B12" t="s">
        <v>116</v>
      </c>
      <c r="E12" s="13"/>
      <c r="F12" s="13"/>
      <c r="G12" s="14">
        <f>(G71-F71)/F71</f>
        <v>8.5327611817131541E-2</v>
      </c>
      <c r="H12" s="14">
        <f>(H71-G71)/G71</f>
        <v>-1.8248175182481751E-3</v>
      </c>
      <c r="I12" s="78">
        <f>CHOOSE($D$3,I31,I42,I54)</f>
        <v>0.02</v>
      </c>
      <c r="J12" s="78">
        <f>CHOOSE($D$3,J31,J42,J54)</f>
        <v>0.02</v>
      </c>
      <c r="K12" s="78">
        <f>CHOOSE($D$3,K31,K42,K54)</f>
        <v>0.02</v>
      </c>
      <c r="L12" s="78">
        <f>CHOOSE($D$3,L31,L42,L54)</f>
        <v>0.02</v>
      </c>
      <c r="M12" s="78">
        <f>CHOOSE($D$3,M31,M42,M54)</f>
        <v>0.02</v>
      </c>
      <c r="N12" s="78">
        <f>CHOOSE($D$3,N31,N42,N54)</f>
        <v>0.02</v>
      </c>
    </row>
    <row r="13" spans="2:17" ht="17.25" customHeight="1">
      <c r="B13" t="s">
        <v>144</v>
      </c>
      <c r="E13" s="13"/>
      <c r="F13" s="13"/>
      <c r="G13" s="16">
        <f>(G76-F76)/F76</f>
        <v>0.33151432469304232</v>
      </c>
      <c r="H13" s="16">
        <f>(H76-G76)/G76</f>
        <v>0.22438524590163936</v>
      </c>
      <c r="I13" s="77">
        <f>CHOOSE($D$3,I32,I43,I55)</f>
        <v>0.2</v>
      </c>
      <c r="J13" s="77">
        <f>CHOOSE($D$3,J32,J43,J55)</f>
        <v>0.2</v>
      </c>
      <c r="K13" s="77">
        <f>CHOOSE($D$3,K32,K43,K55)</f>
        <v>0.2</v>
      </c>
      <c r="L13" s="77">
        <f>CHOOSE($D$3,L32,L43,L55)</f>
        <v>0.2</v>
      </c>
      <c r="M13" s="77">
        <f>CHOOSE($D$3,M32,M43,M55)</f>
        <v>0.2</v>
      </c>
      <c r="N13" s="77">
        <f>CHOOSE($D$3,N32,N43,N55)</f>
        <v>0.2</v>
      </c>
    </row>
    <row r="14" spans="2:17" ht="17.25" customHeight="1">
      <c r="B14" t="s">
        <v>113</v>
      </c>
      <c r="E14" s="13"/>
      <c r="F14" s="16">
        <f>F79/F80</f>
        <v>0.19671545876472687</v>
      </c>
      <c r="G14" s="16">
        <f>G79/G80</f>
        <v>0.23982188295165394</v>
      </c>
      <c r="H14" s="16">
        <f>H79/H80</f>
        <v>0.1645277207392197</v>
      </c>
      <c r="I14" s="77">
        <f>CHOOSE($D$3,I33,I44,I56)</f>
        <v>0.17</v>
      </c>
      <c r="J14" s="77">
        <f>CHOOSE($D$3,J33,J44,J56)</f>
        <v>0.17</v>
      </c>
      <c r="K14" s="77">
        <f>CHOOSE($D$3,K33,K44,K56)</f>
        <v>0.17</v>
      </c>
      <c r="L14" s="77">
        <f>CHOOSE($D$3,L33,L44,L56)</f>
        <v>0.17</v>
      </c>
      <c r="M14" s="77">
        <f>CHOOSE($D$3,M33,M44,M56)</f>
        <v>0.17</v>
      </c>
      <c r="N14" s="77">
        <f>CHOOSE($D$3,N33,N44,N56)</f>
        <v>0.17</v>
      </c>
    </row>
    <row r="15" spans="2:17" ht="17.25" customHeight="1">
      <c r="B15" t="s">
        <v>139</v>
      </c>
      <c r="E15" s="13"/>
      <c r="F15" s="38">
        <f>F75</f>
        <v>3212</v>
      </c>
      <c r="G15" s="38">
        <f>G75</f>
        <v>3162</v>
      </c>
      <c r="H15" s="38">
        <f>H75</f>
        <v>3138</v>
      </c>
      <c r="I15" s="74">
        <f>CHOOSE($D$3,I34,I45,I57)</f>
        <v>3170.6666666666665</v>
      </c>
      <c r="J15" s="74">
        <f>CHOOSE($D$3,J34,J45,J57)</f>
        <v>3156.8888888888887</v>
      </c>
      <c r="K15" s="74">
        <f>CHOOSE($D$3,K34,K45,K57)</f>
        <v>3155.1851851851848</v>
      </c>
      <c r="L15" s="74">
        <f>CHOOSE($D$3,L34,L45,L57)</f>
        <v>3160.9135802469132</v>
      </c>
      <c r="M15" s="74">
        <f>CHOOSE($D$3,M34,M45,M57)</f>
        <v>3157.662551440329</v>
      </c>
      <c r="N15" s="74">
        <f>CHOOSE($D$3,N34,N45,N57)</f>
        <v>3157.9204389574757</v>
      </c>
    </row>
    <row r="16" spans="2:17" ht="17.25" customHeight="1">
      <c r="B16" t="s">
        <v>140</v>
      </c>
      <c r="E16" s="13"/>
      <c r="F16" s="13">
        <v>3315</v>
      </c>
      <c r="G16" s="13">
        <v>3015</v>
      </c>
      <c r="H16" s="13">
        <v>5396</v>
      </c>
      <c r="I16" s="74">
        <f>CHOOSE($D$3,I35,I46,I58)</f>
        <v>3908.6666666666665</v>
      </c>
      <c r="J16" s="74">
        <f>CHOOSE($D$3,J35,J46,J58)</f>
        <v>4106.5555555555557</v>
      </c>
      <c r="K16" s="74">
        <f>CHOOSE($D$3,K35,K46,K58)</f>
        <v>4470.4074074074078</v>
      </c>
      <c r="L16" s="74">
        <f>CHOOSE($D$3,L35,L46,L58)</f>
        <v>4161.8765432098771</v>
      </c>
      <c r="M16" s="74">
        <f>CHOOSE($D$3,M35,M46,M58)</f>
        <v>4246.2798353909466</v>
      </c>
      <c r="N16" s="74">
        <f>CHOOSE($D$3,N35,N46,N58)</f>
        <v>4292.8545953360772</v>
      </c>
    </row>
    <row r="17" spans="2:14" ht="17.25" customHeight="1">
      <c r="B17" t="s">
        <v>141</v>
      </c>
      <c r="E17" s="13"/>
      <c r="F17" s="72">
        <v>7.0000000000000007E-2</v>
      </c>
      <c r="G17" s="72">
        <v>7.0000000000000007E-2</v>
      </c>
      <c r="H17" s="72">
        <v>7.0000000000000007E-2</v>
      </c>
      <c r="I17" s="79">
        <f>CHOOSE($D$3,I36,I47,I59)</f>
        <v>7.0000000000000007E-2</v>
      </c>
      <c r="J17" s="79">
        <f>CHOOSE($D$3,J36,J47,J59)</f>
        <v>7.0000000000000007E-2</v>
      </c>
      <c r="K17" s="79">
        <f>CHOOSE($D$3,K36,K47,K59)</f>
        <v>7.0000000000000007E-2</v>
      </c>
      <c r="L17" s="79">
        <f>CHOOSE($D$3,L36,L47,L59)</f>
        <v>7.0000000000000007E-2</v>
      </c>
      <c r="M17" s="79">
        <f>CHOOSE($D$3,M36,M47,M59)</f>
        <v>7.0000000000000007E-2</v>
      </c>
      <c r="N17" s="79">
        <f>CHOOSE($D$3,N36,N47,N59)</f>
        <v>7.0000000000000007E-2</v>
      </c>
    </row>
    <row r="18" spans="2:14" ht="17.25" customHeight="1">
      <c r="B18" t="s">
        <v>165</v>
      </c>
      <c r="E18" s="13"/>
      <c r="F18" s="17">
        <f>(SUM(F166:F170)/F73)</f>
        <v>-3.9711538461538465E-2</v>
      </c>
      <c r="G18" s="17">
        <f>(SUM(G166:G170)/G73)</f>
        <v>5.0162396246842295E-2</v>
      </c>
      <c r="H18" s="17">
        <f>(SUM(H166:H170)/H73)</f>
        <v>3.0680224403927068E-2</v>
      </c>
      <c r="I18" s="79">
        <f>CHOOSE($D$3,I37,I48,I60)</f>
        <v>0.03</v>
      </c>
      <c r="J18" s="79">
        <f>CHOOSE($D$3,J37,J48,J60)</f>
        <v>0.03</v>
      </c>
      <c r="K18" s="79">
        <f>CHOOSE($D$3,K37,K48,K60)</f>
        <v>0.03</v>
      </c>
      <c r="L18" s="79">
        <f>CHOOSE($D$3,L37,L48,L60)</f>
        <v>0.03</v>
      </c>
      <c r="M18" s="79">
        <f>CHOOSE($D$3,M37,M48,M60)</f>
        <v>0.03</v>
      </c>
      <c r="N18" s="79">
        <f>CHOOSE($D$3,N37,N48,N60)</f>
        <v>0.03</v>
      </c>
    </row>
    <row r="19" spans="2:14" ht="17.25" customHeight="1">
      <c r="E19" s="13"/>
      <c r="F19" s="13"/>
      <c r="G19" s="13"/>
      <c r="H19" s="13"/>
      <c r="I19" s="13"/>
      <c r="J19" s="13"/>
      <c r="K19" s="13"/>
      <c r="L19" s="13"/>
      <c r="M19" s="13"/>
      <c r="N19" s="13"/>
    </row>
    <row r="20" spans="2:14" ht="17.25" customHeight="1">
      <c r="B20" t="s">
        <v>136</v>
      </c>
      <c r="E20" s="13"/>
      <c r="F20" s="16">
        <f>F70/F66</f>
        <v>0.75525737159609851</v>
      </c>
      <c r="G20" s="16">
        <f>G70/G66</f>
        <v>0.76389252605667002</v>
      </c>
      <c r="H20" s="16">
        <f>H70/H66</f>
        <v>0.7631990614000782</v>
      </c>
      <c r="I20" s="13"/>
      <c r="J20" s="13"/>
      <c r="K20" s="13"/>
      <c r="L20" s="13"/>
      <c r="M20" s="13"/>
      <c r="N20" s="13"/>
    </row>
    <row r="21" spans="2:14" ht="17.25" customHeight="1">
      <c r="B21" t="s">
        <v>135</v>
      </c>
      <c r="E21" s="13"/>
      <c r="F21" s="16">
        <f>F74/F66</f>
        <v>0.41669955460337149</v>
      </c>
      <c r="G21" s="16">
        <f>G74/G66</f>
        <v>0.42821976640653642</v>
      </c>
      <c r="H21" s="16">
        <f>H74/H66</f>
        <v>0.4423152131403989</v>
      </c>
      <c r="I21" s="13"/>
      <c r="J21" s="13"/>
      <c r="K21" s="13"/>
      <c r="L21" s="13"/>
      <c r="M21" s="13"/>
      <c r="N21" s="13"/>
    </row>
    <row r="22" spans="2:14" ht="17.25" customHeight="1">
      <c r="B22" t="s">
        <v>134</v>
      </c>
      <c r="E22" s="13"/>
      <c r="F22" s="16">
        <f>F64/F66</f>
        <v>0.81524496814568415</v>
      </c>
      <c r="G22" s="16">
        <f>G64/G66</f>
        <v>0.81862462682658566</v>
      </c>
      <c r="H22" s="16">
        <f>H64/H66</f>
        <v>0.81330660930778254</v>
      </c>
      <c r="I22" s="15"/>
      <c r="J22" s="15"/>
      <c r="K22" s="15"/>
      <c r="L22" s="15"/>
      <c r="M22" s="15"/>
      <c r="N22" s="15"/>
    </row>
    <row r="23" spans="2:14" ht="17.25" customHeight="1">
      <c r="B23" t="s">
        <v>133</v>
      </c>
      <c r="E23" s="13"/>
      <c r="F23" s="17">
        <f>F65/F66</f>
        <v>0.18475503185431583</v>
      </c>
      <c r="G23" s="17">
        <f>G65/G66</f>
        <v>0.18137537317341434</v>
      </c>
      <c r="H23" s="17">
        <f>H65/H66</f>
        <v>0.18669339069221744</v>
      </c>
      <c r="I23" s="15"/>
      <c r="J23" s="15"/>
      <c r="K23" s="15"/>
      <c r="L23" s="15"/>
      <c r="M23" s="15"/>
      <c r="N23" s="15"/>
    </row>
    <row r="24" spans="2:14" ht="17.25" customHeight="1">
      <c r="B24" t="s">
        <v>131</v>
      </c>
      <c r="E24" s="13"/>
      <c r="F24" s="16">
        <f>F67/F69</f>
        <v>0.48836673577516704</v>
      </c>
      <c r="G24" s="16">
        <f>G67/G69</f>
        <v>0.48136645962732921</v>
      </c>
      <c r="H24" s="16">
        <f>H67/H69</f>
        <v>0.45293146160198183</v>
      </c>
      <c r="I24" s="13"/>
      <c r="J24" s="13"/>
      <c r="K24" s="13"/>
      <c r="L24" s="13"/>
      <c r="M24" s="13"/>
      <c r="N24" s="13"/>
    </row>
    <row r="25" spans="2:14" ht="17.25" customHeight="1">
      <c r="B25" t="s">
        <v>132</v>
      </c>
      <c r="E25" s="13"/>
      <c r="F25" s="16">
        <f>F68/F70</f>
        <v>0.16579575992833681</v>
      </c>
      <c r="G25" s="16">
        <f>G68/G70</f>
        <v>0.16030167980802193</v>
      </c>
      <c r="H25" s="16">
        <f>H68/H70</f>
        <v>0.16974122469894953</v>
      </c>
      <c r="I25" s="13"/>
      <c r="J25" s="13"/>
      <c r="K25" s="13"/>
      <c r="L25" s="13"/>
      <c r="M25" s="13"/>
      <c r="N25" s="13"/>
    </row>
    <row r="26" spans="2:14" ht="17.25" customHeight="1">
      <c r="B26" t="s">
        <v>137</v>
      </c>
      <c r="E26" s="13"/>
      <c r="F26" s="17"/>
      <c r="G26" s="18">
        <f>G74/G76</f>
        <v>8.3770491803278695</v>
      </c>
      <c r="H26" s="18">
        <f>H74/H76</f>
        <v>7.571548117154812</v>
      </c>
      <c r="I26" s="13"/>
      <c r="J26" s="13"/>
      <c r="K26" s="13"/>
      <c r="L26" s="13"/>
      <c r="M26" s="13"/>
      <c r="N26" s="13"/>
    </row>
    <row r="27" spans="2:14" ht="17.25" customHeight="1">
      <c r="E27" s="13"/>
      <c r="F27" s="17"/>
      <c r="G27" s="18"/>
      <c r="H27" s="18"/>
      <c r="I27" s="13"/>
      <c r="J27" s="13"/>
      <c r="K27" s="13"/>
      <c r="L27" s="13"/>
      <c r="M27" s="13"/>
      <c r="N27" s="13"/>
    </row>
    <row r="28" spans="2:14" ht="15.75">
      <c r="B28" s="86" t="s">
        <v>190</v>
      </c>
      <c r="F28" s="7"/>
      <c r="G28" s="7"/>
      <c r="H28" s="7"/>
      <c r="I28" s="7"/>
      <c r="J28" s="7"/>
      <c r="K28" s="7"/>
      <c r="L28" s="7"/>
      <c r="M28" s="7"/>
      <c r="N28" s="7"/>
    </row>
    <row r="29" spans="2:14" ht="17.25" customHeight="1">
      <c r="B29" t="s">
        <v>118</v>
      </c>
      <c r="E29" s="13"/>
      <c r="F29" s="13"/>
      <c r="G29" s="14">
        <f>(G66-F66)/F66</f>
        <v>7.6450358008682412E-2</v>
      </c>
      <c r="H29" s="14">
        <f>(H66-G66)/G66</f>
        <v>7.1387419473105326E-2</v>
      </c>
      <c r="I29" s="70">
        <v>0.04</v>
      </c>
      <c r="J29" s="70">
        <v>0.05</v>
      </c>
      <c r="K29" s="70">
        <v>0.05</v>
      </c>
      <c r="L29" s="70">
        <v>0.06</v>
      </c>
      <c r="M29" s="70">
        <v>0.08</v>
      </c>
      <c r="N29" s="70">
        <v>0.08</v>
      </c>
    </row>
    <row r="30" spans="2:14" ht="17.25" customHeight="1">
      <c r="B30" t="s">
        <v>115</v>
      </c>
      <c r="E30" s="13"/>
      <c r="F30" s="13"/>
      <c r="G30" s="14">
        <f>(G69-F69)/F69</f>
        <v>3.8470398525685325E-2</v>
      </c>
      <c r="H30" s="14">
        <f>(H69-G69)/G69</f>
        <v>7.4534161490683232E-2</v>
      </c>
      <c r="I30" s="71">
        <v>0.04</v>
      </c>
      <c r="J30" s="71">
        <v>0.04</v>
      </c>
      <c r="K30" s="71">
        <v>0.04</v>
      </c>
      <c r="L30" s="71">
        <v>0.04</v>
      </c>
      <c r="M30" s="71">
        <v>0.04</v>
      </c>
      <c r="N30" s="71">
        <v>0.04</v>
      </c>
    </row>
    <row r="31" spans="2:14" ht="17.25" customHeight="1">
      <c r="B31" t="s">
        <v>116</v>
      </c>
      <c r="E31" s="13"/>
      <c r="F31" s="13"/>
      <c r="G31" s="14">
        <f>(G71-F71)/F71</f>
        <v>8.5327611817131541E-2</v>
      </c>
      <c r="H31" s="14">
        <f>(H71-G71)/G71</f>
        <v>-1.8248175182481751E-3</v>
      </c>
      <c r="I31" s="71">
        <v>0.02</v>
      </c>
      <c r="J31" s="71">
        <v>0.02</v>
      </c>
      <c r="K31" s="71">
        <v>0.02</v>
      </c>
      <c r="L31" s="71">
        <v>0.02</v>
      </c>
      <c r="M31" s="71">
        <v>0.02</v>
      </c>
      <c r="N31" s="71">
        <v>0.02</v>
      </c>
    </row>
    <row r="32" spans="2:14" ht="17.25" customHeight="1">
      <c r="B32" t="s">
        <v>144</v>
      </c>
      <c r="E32" s="13"/>
      <c r="F32" s="13"/>
      <c r="G32" s="16">
        <f>(G76-F76)/F76</f>
        <v>0.33151432469304232</v>
      </c>
      <c r="H32" s="16">
        <f>(H76-G76)/G76</f>
        <v>0.22438524590163936</v>
      </c>
      <c r="I32" s="70">
        <v>0.2</v>
      </c>
      <c r="J32" s="70">
        <v>0.2</v>
      </c>
      <c r="K32" s="70">
        <v>0.2</v>
      </c>
      <c r="L32" s="70">
        <v>0.2</v>
      </c>
      <c r="M32" s="70">
        <v>0.2</v>
      </c>
      <c r="N32" s="70">
        <v>0.2</v>
      </c>
    </row>
    <row r="33" spans="2:14" ht="17.25" customHeight="1">
      <c r="B33" t="s">
        <v>113</v>
      </c>
      <c r="E33" s="13"/>
      <c r="F33" s="16">
        <f>F79/F80</f>
        <v>0.19671545876472687</v>
      </c>
      <c r="G33" s="16">
        <f>G79/G80</f>
        <v>0.23982188295165394</v>
      </c>
      <c r="H33" s="16">
        <f>H79/H80</f>
        <v>0.1645277207392197</v>
      </c>
      <c r="I33" s="70">
        <v>0.17</v>
      </c>
      <c r="J33" s="70">
        <v>0.17</v>
      </c>
      <c r="K33" s="70">
        <v>0.17</v>
      </c>
      <c r="L33" s="70">
        <v>0.17</v>
      </c>
      <c r="M33" s="70">
        <v>0.17</v>
      </c>
      <c r="N33" s="70">
        <v>0.17</v>
      </c>
    </row>
    <row r="34" spans="2:14" ht="17.25" customHeight="1">
      <c r="B34" t="s">
        <v>139</v>
      </c>
      <c r="E34" s="13"/>
      <c r="F34" s="38">
        <f>F75</f>
        <v>3212</v>
      </c>
      <c r="G34" s="38">
        <f>G75</f>
        <v>3162</v>
      </c>
      <c r="H34" s="38">
        <f>H75</f>
        <v>3138</v>
      </c>
      <c r="I34" s="74">
        <f>AVERAGE(F34:H34)</f>
        <v>3170.6666666666665</v>
      </c>
      <c r="J34" s="74">
        <f t="shared" ref="J34:N34" si="1">AVERAGE(G34:I34)</f>
        <v>3156.8888888888887</v>
      </c>
      <c r="K34" s="74">
        <f t="shared" si="1"/>
        <v>3155.1851851851848</v>
      </c>
      <c r="L34" s="74">
        <f t="shared" si="1"/>
        <v>3160.9135802469132</v>
      </c>
      <c r="M34" s="74">
        <f t="shared" si="1"/>
        <v>3157.662551440329</v>
      </c>
      <c r="N34" s="74">
        <f t="shared" si="1"/>
        <v>3157.9204389574757</v>
      </c>
    </row>
    <row r="35" spans="2:14" ht="17.25" customHeight="1">
      <c r="B35" t="s">
        <v>140</v>
      </c>
      <c r="E35" s="13"/>
      <c r="F35" s="13">
        <v>3315</v>
      </c>
      <c r="G35" s="13">
        <v>3015</v>
      </c>
      <c r="H35" s="13">
        <v>5396</v>
      </c>
      <c r="I35" s="74">
        <f>AVERAGE(F16:H16)</f>
        <v>3908.6666666666665</v>
      </c>
      <c r="J35" s="74">
        <f>AVERAGE(G16:I16)</f>
        <v>4106.5555555555557</v>
      </c>
      <c r="K35" s="74">
        <f>AVERAGE(H16:J16)</f>
        <v>4470.4074074074078</v>
      </c>
      <c r="L35" s="74">
        <f>AVERAGE(I16:K16)</f>
        <v>4161.8765432098771</v>
      </c>
      <c r="M35" s="74">
        <f>AVERAGE(J16:L16)</f>
        <v>4246.2798353909466</v>
      </c>
      <c r="N35" s="74">
        <f>AVERAGE(K16:M16)</f>
        <v>4292.8545953360772</v>
      </c>
    </row>
    <row r="36" spans="2:14" ht="17.25" customHeight="1">
      <c r="B36" t="s">
        <v>141</v>
      </c>
      <c r="E36" s="13"/>
      <c r="F36" s="72">
        <v>7.0000000000000007E-2</v>
      </c>
      <c r="G36" s="72">
        <v>7.0000000000000007E-2</v>
      </c>
      <c r="H36" s="72">
        <v>7.0000000000000007E-2</v>
      </c>
      <c r="I36" s="72">
        <v>7.0000000000000007E-2</v>
      </c>
      <c r="J36" s="72">
        <v>7.0000000000000007E-2</v>
      </c>
      <c r="K36" s="72">
        <v>7.0000000000000007E-2</v>
      </c>
      <c r="L36" s="72">
        <v>7.0000000000000007E-2</v>
      </c>
      <c r="M36" s="72">
        <v>7.0000000000000007E-2</v>
      </c>
      <c r="N36" s="72">
        <v>7.0000000000000007E-2</v>
      </c>
    </row>
    <row r="37" spans="2:14" ht="17.25" customHeight="1">
      <c r="B37" t="s">
        <v>165</v>
      </c>
      <c r="E37" s="13"/>
      <c r="F37" s="17">
        <f>(SUM(F166:F170)/F73)</f>
        <v>-3.9711538461538465E-2</v>
      </c>
      <c r="G37" s="17">
        <f>(SUM(G166:G170)/G73)</f>
        <v>5.0162396246842295E-2</v>
      </c>
      <c r="H37" s="17">
        <f>(SUM(H166:H170)/H73)</f>
        <v>3.0680224403927068E-2</v>
      </c>
      <c r="I37" s="72">
        <v>0.03</v>
      </c>
      <c r="J37" s="72">
        <v>0.03</v>
      </c>
      <c r="K37" s="72">
        <v>0.03</v>
      </c>
      <c r="L37" s="72">
        <v>0.03</v>
      </c>
      <c r="M37" s="72">
        <v>0.03</v>
      </c>
      <c r="N37" s="72">
        <v>0.03</v>
      </c>
    </row>
    <row r="38" spans="2:14" ht="17.25" customHeight="1">
      <c r="E38" s="13"/>
      <c r="F38" s="17"/>
      <c r="G38" s="18"/>
      <c r="H38" s="18"/>
      <c r="I38" s="13"/>
      <c r="J38" s="13"/>
      <c r="K38" s="13"/>
      <c r="L38" s="13"/>
      <c r="M38" s="13"/>
      <c r="N38" s="13"/>
    </row>
    <row r="39" spans="2:14" ht="17.25" customHeight="1">
      <c r="B39" s="84" t="s">
        <v>187</v>
      </c>
      <c r="E39" s="13"/>
      <c r="F39" s="17"/>
      <c r="G39" s="18"/>
      <c r="H39" s="18"/>
      <c r="I39" s="13"/>
      <c r="J39" s="13"/>
      <c r="K39" s="13"/>
      <c r="L39" s="13"/>
      <c r="M39" s="13"/>
      <c r="N39" s="13"/>
    </row>
    <row r="40" spans="2:14" ht="17.25" customHeight="1">
      <c r="B40" t="s">
        <v>118</v>
      </c>
      <c r="E40" s="13"/>
      <c r="F40" s="13"/>
      <c r="G40" s="14">
        <f>(G66-F66)/F66</f>
        <v>7.6450358008682412E-2</v>
      </c>
      <c r="H40" s="14">
        <f>(H66-G66)/G66</f>
        <v>7.1387419473105326E-2</v>
      </c>
      <c r="I40" s="70">
        <v>0.02</v>
      </c>
      <c r="J40" s="70">
        <v>-0.05</v>
      </c>
      <c r="K40" s="70">
        <v>-7.0000000000000007E-2</v>
      </c>
      <c r="L40" s="70">
        <v>-0.1</v>
      </c>
      <c r="M40" s="70">
        <v>-0.12</v>
      </c>
      <c r="N40" s="70">
        <v>-0.2</v>
      </c>
    </row>
    <row r="41" spans="2:14" ht="17.25" customHeight="1">
      <c r="B41" t="s">
        <v>115</v>
      </c>
      <c r="E41" s="13"/>
      <c r="F41" s="13"/>
      <c r="G41" s="14">
        <f>(G69-F69)/F69</f>
        <v>3.8470398525685325E-2</v>
      </c>
      <c r="H41" s="14">
        <f>(H69-G69)/G69</f>
        <v>7.4534161490683232E-2</v>
      </c>
      <c r="I41" s="71">
        <v>0.04</v>
      </c>
      <c r="J41" s="71">
        <v>0.01</v>
      </c>
      <c r="K41" s="71">
        <v>0.01</v>
      </c>
      <c r="L41" s="71">
        <v>0.01</v>
      </c>
      <c r="M41" s="71">
        <v>0.01</v>
      </c>
      <c r="N41" s="71">
        <v>0.01</v>
      </c>
    </row>
    <row r="42" spans="2:14" ht="17.25" customHeight="1">
      <c r="B42" t="s">
        <v>116</v>
      </c>
      <c r="E42" s="13"/>
      <c r="F42" s="13"/>
      <c r="G42" s="14">
        <f>(G71-F71)/F71</f>
        <v>8.5327611817131541E-2</v>
      </c>
      <c r="H42" s="14">
        <f>(H71-G71)/G71</f>
        <v>-1.8248175182481751E-3</v>
      </c>
      <c r="I42" s="71">
        <v>-0.01</v>
      </c>
      <c r="J42" s="71">
        <v>-0.01</v>
      </c>
      <c r="K42" s="71">
        <v>-0.01</v>
      </c>
      <c r="L42" s="71">
        <v>-0.01</v>
      </c>
      <c r="M42" s="71">
        <v>-0.01</v>
      </c>
      <c r="N42" s="71">
        <v>-0.01</v>
      </c>
    </row>
    <row r="43" spans="2:14" ht="17.25" customHeight="1">
      <c r="B43" t="s">
        <v>144</v>
      </c>
      <c r="E43" s="13"/>
      <c r="F43" s="13"/>
      <c r="G43" s="16">
        <f>(G76-F76)/F76</f>
        <v>0.33151432469304232</v>
      </c>
      <c r="H43" s="16">
        <f>(H76-G76)/G76</f>
        <v>0.22438524590163936</v>
      </c>
      <c r="I43" s="70">
        <v>0.2</v>
      </c>
      <c r="J43" s="70">
        <v>0.2</v>
      </c>
      <c r="K43" s="70">
        <v>0.2</v>
      </c>
      <c r="L43" s="70">
        <v>0.2</v>
      </c>
      <c r="M43" s="70">
        <v>0.2</v>
      </c>
      <c r="N43" s="70">
        <v>0.2</v>
      </c>
    </row>
    <row r="44" spans="2:14" ht="17.25" customHeight="1">
      <c r="B44" t="s">
        <v>113</v>
      </c>
      <c r="E44" s="13"/>
      <c r="F44" s="16">
        <f>F79/F80</f>
        <v>0.19671545876472687</v>
      </c>
      <c r="G44" s="16">
        <f>G79/G80</f>
        <v>0.23982188295165394</v>
      </c>
      <c r="H44" s="16">
        <f>H79/H80</f>
        <v>0.1645277207392197</v>
      </c>
      <c r="I44" s="70">
        <v>0.17</v>
      </c>
      <c r="J44" s="70">
        <v>0.18</v>
      </c>
      <c r="K44" s="70">
        <v>0.2</v>
      </c>
      <c r="L44" s="70">
        <v>0.2</v>
      </c>
      <c r="M44" s="70">
        <v>0.2</v>
      </c>
      <c r="N44" s="70">
        <v>0.2</v>
      </c>
    </row>
    <row r="45" spans="2:14" ht="17.25" customHeight="1">
      <c r="B45" t="s">
        <v>139</v>
      </c>
      <c r="E45" s="13"/>
      <c r="F45" s="75">
        <f>F75</f>
        <v>3212</v>
      </c>
      <c r="G45" s="75">
        <f>G75</f>
        <v>3162</v>
      </c>
      <c r="H45" s="75">
        <f>H75</f>
        <v>3138</v>
      </c>
      <c r="I45" s="74">
        <f>AVERAGE(F15:H15)</f>
        <v>3170.6666666666665</v>
      </c>
      <c r="J45" s="74">
        <f>AVERAGE(F45:I45)</f>
        <v>3170.6666666666665</v>
      </c>
      <c r="K45" s="74">
        <f t="shared" ref="K45:N45" si="2">AVERAGE(G45:J45)</f>
        <v>3160.333333333333</v>
      </c>
      <c r="L45" s="74">
        <f t="shared" si="2"/>
        <v>3159.9166666666661</v>
      </c>
      <c r="M45" s="74">
        <f t="shared" si="2"/>
        <v>3165.395833333333</v>
      </c>
      <c r="N45" s="74">
        <f t="shared" si="2"/>
        <v>3164.078125</v>
      </c>
    </row>
    <row r="46" spans="2:14" ht="17.25" customHeight="1">
      <c r="B46" t="s">
        <v>140</v>
      </c>
      <c r="E46" s="13"/>
      <c r="F46" s="73">
        <v>3315</v>
      </c>
      <c r="G46" s="73">
        <v>3015</v>
      </c>
      <c r="H46" s="73">
        <v>5396</v>
      </c>
      <c r="I46" s="74">
        <f>AVERAGE(F46:H46)</f>
        <v>3908.6666666666665</v>
      </c>
      <c r="J46" s="74">
        <f t="shared" ref="J46:N46" si="3">AVERAGE(G46:I46)</f>
        <v>4106.5555555555557</v>
      </c>
      <c r="K46" s="74">
        <f t="shared" si="3"/>
        <v>4470.4074074074078</v>
      </c>
      <c r="L46" s="74">
        <f t="shared" si="3"/>
        <v>4161.8765432098771</v>
      </c>
      <c r="M46" s="74">
        <f t="shared" si="3"/>
        <v>4246.2798353909466</v>
      </c>
      <c r="N46" s="74">
        <f t="shared" si="3"/>
        <v>4292.8545953360772</v>
      </c>
    </row>
    <row r="47" spans="2:14" ht="17.25" customHeight="1">
      <c r="B47" t="s">
        <v>141</v>
      </c>
      <c r="E47" s="13"/>
      <c r="F47" s="72">
        <v>7.0000000000000007E-2</v>
      </c>
      <c r="G47" s="72">
        <v>7.0000000000000007E-2</v>
      </c>
      <c r="H47" s="72">
        <v>7.0000000000000007E-2</v>
      </c>
      <c r="I47" s="72">
        <v>0.02</v>
      </c>
      <c r="J47" s="72">
        <v>0</v>
      </c>
      <c r="K47" s="72">
        <v>0</v>
      </c>
      <c r="L47" s="72">
        <v>0</v>
      </c>
      <c r="M47" s="72">
        <v>0</v>
      </c>
      <c r="N47" s="72">
        <v>0</v>
      </c>
    </row>
    <row r="48" spans="2:14" ht="17.25" customHeight="1">
      <c r="B48" t="s">
        <v>165</v>
      </c>
      <c r="E48" s="13"/>
      <c r="F48" s="17">
        <f>(SUM(F166:F170)/F73)</f>
        <v>-3.9711538461538465E-2</v>
      </c>
      <c r="G48" s="17">
        <f>(SUM(G166:G170)/G73)</f>
        <v>5.0162396246842295E-2</v>
      </c>
      <c r="H48" s="17">
        <f>(SUM(H166:H170)/H73)</f>
        <v>3.0680224403927068E-2</v>
      </c>
      <c r="I48" s="17">
        <v>0.03</v>
      </c>
      <c r="J48" s="72">
        <v>0.03</v>
      </c>
      <c r="K48" s="72">
        <v>0.03</v>
      </c>
      <c r="L48" s="72">
        <v>0.03</v>
      </c>
      <c r="M48" s="72">
        <v>0.03</v>
      </c>
      <c r="N48" s="72">
        <v>0.03</v>
      </c>
    </row>
    <row r="49" spans="2:19" ht="17.25" customHeight="1">
      <c r="E49" s="13"/>
      <c r="F49" s="17"/>
      <c r="G49" s="18"/>
      <c r="H49" s="18"/>
      <c r="I49" s="13"/>
      <c r="J49" s="13"/>
      <c r="K49" s="13"/>
      <c r="L49" s="13"/>
      <c r="M49" s="13"/>
      <c r="N49" s="13"/>
    </row>
    <row r="50" spans="2:19" ht="21.75" customHeight="1">
      <c r="E50" s="13"/>
      <c r="F50" s="17"/>
      <c r="G50" s="18"/>
      <c r="H50" s="18"/>
      <c r="I50" s="13"/>
      <c r="J50" s="13"/>
      <c r="K50" s="13"/>
      <c r="L50" s="13"/>
      <c r="M50" s="13"/>
      <c r="N50" s="13"/>
    </row>
    <row r="51" spans="2:19" ht="17.25" customHeight="1">
      <c r="B51" s="84" t="s">
        <v>188</v>
      </c>
      <c r="E51" s="13"/>
      <c r="F51" s="17"/>
      <c r="G51" s="18"/>
      <c r="H51" s="18"/>
      <c r="I51" s="13"/>
      <c r="J51" s="13"/>
      <c r="K51" s="13"/>
      <c r="L51" s="13"/>
      <c r="M51" s="13"/>
      <c r="N51" s="13"/>
    </row>
    <row r="52" spans="2:19" ht="17.25" customHeight="1">
      <c r="B52" t="s">
        <v>118</v>
      </c>
      <c r="E52" s="13"/>
      <c r="F52" s="13"/>
      <c r="G52" s="14">
        <f>(G66-F66)/F66</f>
        <v>7.6450358008682412E-2</v>
      </c>
      <c r="H52" s="14">
        <f>(H66-G66)/G66</f>
        <v>7.1387419473105326E-2</v>
      </c>
      <c r="I52" s="70">
        <v>0.08</v>
      </c>
      <c r="J52" s="70">
        <v>0.1</v>
      </c>
      <c r="K52" s="70">
        <v>0.1</v>
      </c>
      <c r="L52" s="70">
        <v>0.2</v>
      </c>
      <c r="M52" s="70">
        <v>0.08</v>
      </c>
      <c r="N52" s="70">
        <v>0.08</v>
      </c>
    </row>
    <row r="53" spans="2:19" ht="17.25" customHeight="1">
      <c r="B53" t="s">
        <v>115</v>
      </c>
      <c r="E53" s="13"/>
      <c r="F53" s="13"/>
      <c r="G53" s="14">
        <f>(G69-F69)/F69</f>
        <v>3.8470398525685325E-2</v>
      </c>
      <c r="H53" s="14">
        <f>(H69-G69)/G69</f>
        <v>7.4534161490683232E-2</v>
      </c>
      <c r="I53" s="71">
        <v>0.04</v>
      </c>
      <c r="J53" s="71">
        <v>0.03</v>
      </c>
      <c r="K53" s="71">
        <v>0.03</v>
      </c>
      <c r="L53" s="71">
        <v>0.03</v>
      </c>
      <c r="M53" s="71">
        <v>0.03</v>
      </c>
      <c r="N53" s="71">
        <v>0.03</v>
      </c>
    </row>
    <row r="54" spans="2:19" ht="17.25" customHeight="1">
      <c r="B54" t="s">
        <v>116</v>
      </c>
      <c r="E54" s="13"/>
      <c r="F54" s="13"/>
      <c r="G54" s="14">
        <f>(G71-F71)/F71</f>
        <v>8.5327611817131541E-2</v>
      </c>
      <c r="H54" s="14">
        <f>(H71-G71)/G71</f>
        <v>-1.8248175182481751E-3</v>
      </c>
      <c r="I54" s="71">
        <v>0.02</v>
      </c>
      <c r="J54" s="71">
        <v>0.02</v>
      </c>
      <c r="K54" s="71">
        <v>0.02</v>
      </c>
      <c r="L54" s="71">
        <v>0.02</v>
      </c>
      <c r="M54" s="71">
        <v>0.02</v>
      </c>
      <c r="N54" s="71">
        <v>0.02</v>
      </c>
    </row>
    <row r="55" spans="2:19" ht="17.25" customHeight="1">
      <c r="B55" t="s">
        <v>144</v>
      </c>
      <c r="E55" s="13"/>
      <c r="F55" s="13"/>
      <c r="G55" s="16">
        <f>(G76-F76)/F76</f>
        <v>0.33151432469304232</v>
      </c>
      <c r="H55" s="16">
        <f>(H76-G76)/G76</f>
        <v>0.22438524590163936</v>
      </c>
      <c r="I55" s="70">
        <v>0.2</v>
      </c>
      <c r="J55" s="70">
        <v>0.2</v>
      </c>
      <c r="K55" s="70">
        <v>0.2</v>
      </c>
      <c r="L55" s="70">
        <v>0.2</v>
      </c>
      <c r="M55" s="70">
        <v>0.2</v>
      </c>
      <c r="N55" s="70">
        <v>0.2</v>
      </c>
    </row>
    <row r="56" spans="2:19" ht="17.25" customHeight="1">
      <c r="B56" t="s">
        <v>113</v>
      </c>
      <c r="E56" s="13"/>
      <c r="F56" s="16">
        <f>F79/F80</f>
        <v>0.19671545876472687</v>
      </c>
      <c r="G56" s="16">
        <f>G79/G80</f>
        <v>0.23982188295165394</v>
      </c>
      <c r="H56" s="16">
        <f>H79/H80</f>
        <v>0.1645277207392197</v>
      </c>
      <c r="I56" s="70">
        <v>0.17</v>
      </c>
      <c r="J56" s="70">
        <v>0.17</v>
      </c>
      <c r="K56" s="70">
        <v>0.17</v>
      </c>
      <c r="L56" s="70">
        <v>0.17</v>
      </c>
      <c r="M56" s="70">
        <v>0.17</v>
      </c>
      <c r="N56" s="70">
        <v>0.17</v>
      </c>
    </row>
    <row r="57" spans="2:19" ht="17.25" customHeight="1">
      <c r="B57" t="s">
        <v>139</v>
      </c>
      <c r="E57" s="13"/>
      <c r="F57" s="75">
        <v>3212</v>
      </c>
      <c r="G57" s="75">
        <v>3162</v>
      </c>
      <c r="H57" s="75">
        <v>3138</v>
      </c>
      <c r="I57" s="74">
        <f>H57+(1.01)</f>
        <v>3139.01</v>
      </c>
      <c r="J57" s="74">
        <f>I57+(1.01)</f>
        <v>3140.0200000000004</v>
      </c>
      <c r="K57" s="74">
        <f t="shared" ref="K57:N57" si="4">J57+(1.01)</f>
        <v>3141.0300000000007</v>
      </c>
      <c r="L57" s="74">
        <f t="shared" si="4"/>
        <v>3142.0400000000009</v>
      </c>
      <c r="M57" s="74">
        <f t="shared" si="4"/>
        <v>3143.0500000000011</v>
      </c>
      <c r="N57" s="74">
        <f t="shared" si="4"/>
        <v>3144.0600000000013</v>
      </c>
    </row>
    <row r="58" spans="2:19" ht="17.25" customHeight="1">
      <c r="B58" t="s">
        <v>140</v>
      </c>
      <c r="E58" s="13"/>
      <c r="F58" s="73">
        <v>3315</v>
      </c>
      <c r="G58" s="73">
        <v>3015</v>
      </c>
      <c r="H58" s="73">
        <v>5396</v>
      </c>
      <c r="I58" s="74">
        <f t="shared" ref="I58:N58" si="5">AVERAGE(F58:H58)</f>
        <v>3908.6666666666665</v>
      </c>
      <c r="J58" s="74">
        <f t="shared" si="5"/>
        <v>4106.5555555555557</v>
      </c>
      <c r="K58" s="74">
        <f t="shared" si="5"/>
        <v>4470.4074074074078</v>
      </c>
      <c r="L58" s="74">
        <f t="shared" si="5"/>
        <v>4161.8765432098771</v>
      </c>
      <c r="M58" s="74">
        <f t="shared" si="5"/>
        <v>4246.2798353909466</v>
      </c>
      <c r="N58" s="74">
        <f t="shared" si="5"/>
        <v>4292.8545953360772</v>
      </c>
    </row>
    <row r="59" spans="2:19" ht="17.25" customHeight="1">
      <c r="B59" t="s">
        <v>141</v>
      </c>
      <c r="E59" s="13"/>
      <c r="F59" s="72">
        <v>7.0000000000000007E-2</v>
      </c>
      <c r="G59" s="72">
        <v>7.0000000000000007E-2</v>
      </c>
      <c r="H59" s="72">
        <v>7.0000000000000007E-2</v>
      </c>
      <c r="I59" s="72">
        <v>0.08</v>
      </c>
      <c r="J59" s="72">
        <v>0.08</v>
      </c>
      <c r="K59" s="72">
        <v>0.09</v>
      </c>
      <c r="L59" s="72">
        <v>0.09</v>
      </c>
      <c r="M59" s="72">
        <v>0.09</v>
      </c>
      <c r="N59" s="72">
        <v>0.1</v>
      </c>
    </row>
    <row r="60" spans="2:19" ht="17.25" customHeight="1">
      <c r="B60" t="s">
        <v>165</v>
      </c>
      <c r="E60" s="13"/>
      <c r="F60" s="17">
        <f>(SUM(F166:F170)/F73)</f>
        <v>-3.9711538461538465E-2</v>
      </c>
      <c r="G60" s="17">
        <f>(SUM(G166:G170)/G73)</f>
        <v>5.0162396246842295E-2</v>
      </c>
      <c r="H60" s="17">
        <f>(SUM(H166:H170)/H73)</f>
        <v>3.0680224403927068E-2</v>
      </c>
      <c r="I60" s="17">
        <v>0.03</v>
      </c>
      <c r="J60" s="72">
        <v>0.03</v>
      </c>
      <c r="K60" s="72">
        <v>0.04</v>
      </c>
      <c r="L60" s="72">
        <v>0.04</v>
      </c>
      <c r="M60" s="72">
        <v>0.04</v>
      </c>
      <c r="N60" s="72">
        <v>0.05</v>
      </c>
    </row>
    <row r="61" spans="2:19" ht="17.25" customHeight="1">
      <c r="E61" s="13"/>
      <c r="F61" s="17"/>
      <c r="G61" s="18"/>
      <c r="H61" s="18"/>
      <c r="I61" s="13"/>
      <c r="J61" s="13"/>
      <c r="K61" s="13"/>
      <c r="L61" s="13"/>
      <c r="M61" s="13"/>
      <c r="N61" s="13"/>
    </row>
    <row r="62" spans="2:19" ht="21">
      <c r="B62" s="11" t="s">
        <v>66</v>
      </c>
      <c r="C62" s="11"/>
      <c r="D62" s="6"/>
      <c r="E62" s="19"/>
      <c r="F62" s="101" t="s">
        <v>1</v>
      </c>
      <c r="G62" s="101"/>
      <c r="H62" s="101"/>
      <c r="I62" s="102" t="s">
        <v>0</v>
      </c>
      <c r="J62" s="102"/>
      <c r="K62" s="102"/>
      <c r="L62" s="102"/>
      <c r="M62" s="102"/>
      <c r="N62" s="102"/>
      <c r="O62" s="56"/>
      <c r="P62" s="56"/>
      <c r="Q62" s="56"/>
    </row>
    <row r="63" spans="2:19">
      <c r="B63" s="3" t="s">
        <v>67</v>
      </c>
      <c r="C63" s="3"/>
      <c r="E63" s="13"/>
      <c r="F63" s="30">
        <v>44926</v>
      </c>
      <c r="G63" s="30">
        <f t="shared" ref="G63:N63" si="6">EOMONTH(F63,12)</f>
        <v>45291</v>
      </c>
      <c r="H63" s="30">
        <f t="shared" si="6"/>
        <v>45657</v>
      </c>
      <c r="I63" s="30">
        <f t="shared" si="6"/>
        <v>46022</v>
      </c>
      <c r="J63" s="30">
        <f t="shared" si="6"/>
        <v>46387</v>
      </c>
      <c r="K63" s="30">
        <f t="shared" si="6"/>
        <v>46752</v>
      </c>
      <c r="L63" s="30">
        <f t="shared" si="6"/>
        <v>47118</v>
      </c>
      <c r="M63" s="30">
        <f t="shared" si="6"/>
        <v>47483</v>
      </c>
      <c r="N63" s="30">
        <f t="shared" si="6"/>
        <v>47848</v>
      </c>
    </row>
    <row r="64" spans="2:19">
      <c r="B64" t="s">
        <v>2</v>
      </c>
      <c r="E64" s="13"/>
      <c r="F64" s="21">
        <v>14460</v>
      </c>
      <c r="G64" s="21">
        <v>15630</v>
      </c>
      <c r="H64" s="21">
        <v>16637</v>
      </c>
      <c r="I64" s="22">
        <f>H64*(1+((I10*$H$22)))</f>
        <v>17178.239282362145</v>
      </c>
      <c r="J64" s="22">
        <f>I64*(1+((J10*$H$22)))</f>
        <v>17876.798059592933</v>
      </c>
      <c r="K64" s="22">
        <f>J64*(1+((K10*$H$22)))</f>
        <v>18603.763960349308</v>
      </c>
      <c r="L64" s="22">
        <f>K64*(1+((L10*$H$22)))</f>
        <v>19511.597811566546</v>
      </c>
      <c r="M64" s="22">
        <f>L64*(1+((M10*$H$22)))</f>
        <v>20781.110728230731</v>
      </c>
      <c r="N64" s="22">
        <f>M64*(1+((N10*$H$22)))</f>
        <v>22133.223904552884</v>
      </c>
      <c r="P64" s="2"/>
      <c r="Q64" s="2"/>
      <c r="R64" s="2"/>
      <c r="S64" s="2"/>
    </row>
    <row r="65" spans="2:14">
      <c r="B65" t="s">
        <v>3</v>
      </c>
      <c r="E65" s="13"/>
      <c r="F65" s="21">
        <v>3277</v>
      </c>
      <c r="G65" s="21">
        <v>3463</v>
      </c>
      <c r="H65" s="21">
        <v>3819</v>
      </c>
      <c r="I65" s="22">
        <f>H65*(1+(I10*$H$23))</f>
        <v>3847.5192823621428</v>
      </c>
      <c r="J65" s="22">
        <f>I65*(1+(J10*$H$23))</f>
        <v>3883.4346033910365</v>
      </c>
      <c r="K65" s="22">
        <f>J65*(1+(K10*$H$23))</f>
        <v>3919.6851820729644</v>
      </c>
      <c r="L65" s="22">
        <f>K65*(1+(L10*$H$23))</f>
        <v>3963.5919410981987</v>
      </c>
      <c r="M65" s="22">
        <f>L65*(1+(M10*$H$23))</f>
        <v>4022.7900546025162</v>
      </c>
      <c r="N65" s="22">
        <f>M65*(1+(N10*$H$23))</f>
        <v>4082.8723198294497</v>
      </c>
    </row>
    <row r="66" spans="2:14">
      <c r="B66" s="1" t="s">
        <v>4</v>
      </c>
      <c r="C66" s="1"/>
      <c r="D66" s="1"/>
      <c r="E66" s="23"/>
      <c r="F66" s="24">
        <f t="shared" ref="F66:N66" si="7">SUM(F64:F65)</f>
        <v>17737</v>
      </c>
      <c r="G66" s="24">
        <f t="shared" si="7"/>
        <v>19093</v>
      </c>
      <c r="H66" s="24">
        <f t="shared" si="7"/>
        <v>20456</v>
      </c>
      <c r="I66" s="24">
        <f t="shared" si="7"/>
        <v>21025.758564724289</v>
      </c>
      <c r="J66" s="24">
        <f t="shared" si="7"/>
        <v>21760.23266298397</v>
      </c>
      <c r="K66" s="24">
        <f t="shared" si="7"/>
        <v>22523.449142422272</v>
      </c>
      <c r="L66" s="24">
        <f t="shared" si="7"/>
        <v>23475.189752664744</v>
      </c>
      <c r="M66" s="24">
        <f t="shared" si="7"/>
        <v>24803.900782833247</v>
      </c>
      <c r="N66" s="24">
        <f t="shared" si="7"/>
        <v>26216.096224382334</v>
      </c>
    </row>
    <row r="67" spans="2:14">
      <c r="B67" t="s">
        <v>5</v>
      </c>
      <c r="E67" s="13"/>
      <c r="F67" s="21">
        <f>5332-F75</f>
        <v>2120</v>
      </c>
      <c r="G67" s="21">
        <f>5332-G75</f>
        <v>2170</v>
      </c>
      <c r="H67" s="21">
        <f>5332-H75</f>
        <v>2194</v>
      </c>
      <c r="I67" s="22">
        <f>H67*(1+I11)</f>
        <v>2281.7600000000002</v>
      </c>
      <c r="J67" s="22">
        <f>I67*(1+J11)</f>
        <v>2373.0304000000001</v>
      </c>
      <c r="K67" s="22">
        <f>J67*(1+K11)</f>
        <v>2467.9516160000003</v>
      </c>
      <c r="L67" s="22">
        <f>K67*(1+L11)</f>
        <v>2566.6696806400005</v>
      </c>
      <c r="M67" s="22">
        <f>L67*(1+M11)</f>
        <v>2669.3364678656008</v>
      </c>
      <c r="N67" s="22">
        <f>M67*(1+N11)</f>
        <v>2776.109926580225</v>
      </c>
    </row>
    <row r="68" spans="2:14">
      <c r="B68" t="s">
        <v>6</v>
      </c>
      <c r="E68" s="13"/>
      <c r="F68" s="21">
        <v>2221</v>
      </c>
      <c r="G68" s="21">
        <v>2338</v>
      </c>
      <c r="H68" s="21">
        <v>2650</v>
      </c>
      <c r="I68" s="22">
        <f>H68*(1+I11)</f>
        <v>2756</v>
      </c>
      <c r="J68" s="22">
        <f>I68*(1+J11)</f>
        <v>2866.2400000000002</v>
      </c>
      <c r="K68" s="22">
        <f>J68*(1+K11)</f>
        <v>2980.8896000000004</v>
      </c>
      <c r="L68" s="22">
        <f>K68*(1+L11)</f>
        <v>3100.1251840000004</v>
      </c>
      <c r="M68" s="22">
        <f>L68*(1+M11)</f>
        <v>3224.1301913600005</v>
      </c>
      <c r="N68" s="22">
        <f>M68*(1+N11)</f>
        <v>3353.0953990144008</v>
      </c>
    </row>
    <row r="69" spans="2:14">
      <c r="B69" s="1" t="s">
        <v>112</v>
      </c>
      <c r="C69" s="1"/>
      <c r="E69" s="13"/>
      <c r="F69" s="24">
        <f>SUM(F67:F68)</f>
        <v>4341</v>
      </c>
      <c r="G69" s="24">
        <f t="shared" ref="G69:N69" si="8">SUM(G67:G68)</f>
        <v>4508</v>
      </c>
      <c r="H69" s="24">
        <f t="shared" si="8"/>
        <v>4844</v>
      </c>
      <c r="I69" s="24">
        <f t="shared" si="8"/>
        <v>5037.76</v>
      </c>
      <c r="J69" s="24">
        <f t="shared" si="8"/>
        <v>5239.2704000000003</v>
      </c>
      <c r="K69" s="24">
        <f t="shared" si="8"/>
        <v>5448.8412160000007</v>
      </c>
      <c r="L69" s="24">
        <f t="shared" si="8"/>
        <v>5666.7948646400009</v>
      </c>
      <c r="M69" s="24">
        <f t="shared" si="8"/>
        <v>5893.4666592256017</v>
      </c>
      <c r="N69" s="24">
        <f t="shared" si="8"/>
        <v>6129.2053255946257</v>
      </c>
    </row>
    <row r="70" spans="2:14">
      <c r="B70" s="1" t="s">
        <v>9</v>
      </c>
      <c r="C70" s="1"/>
      <c r="D70" s="1"/>
      <c r="E70" s="23"/>
      <c r="F70" s="24">
        <f t="shared" ref="F70:N70" si="9">F66-F69</f>
        <v>13396</v>
      </c>
      <c r="G70" s="24">
        <f t="shared" si="9"/>
        <v>14585</v>
      </c>
      <c r="H70" s="24">
        <f t="shared" si="9"/>
        <v>15612</v>
      </c>
      <c r="I70" s="24">
        <f t="shared" si="9"/>
        <v>15987.998564724288</v>
      </c>
      <c r="J70" s="24">
        <f t="shared" si="9"/>
        <v>16520.962262983969</v>
      </c>
      <c r="K70" s="24">
        <f t="shared" si="9"/>
        <v>17074.607926422272</v>
      </c>
      <c r="L70" s="24">
        <f t="shared" si="9"/>
        <v>17808.394888024744</v>
      </c>
      <c r="M70" s="24">
        <f t="shared" si="9"/>
        <v>18910.434123607643</v>
      </c>
      <c r="N70" s="24">
        <f t="shared" si="9"/>
        <v>20086.890898787708</v>
      </c>
    </row>
    <row r="71" spans="2:14">
      <c r="B71" t="s">
        <v>7</v>
      </c>
      <c r="E71" s="13"/>
      <c r="F71" s="21">
        <v>6059</v>
      </c>
      <c r="G71" s="21">
        <v>6576</v>
      </c>
      <c r="H71" s="21">
        <v>6564</v>
      </c>
      <c r="I71" s="22">
        <f>H71*(1+I12)</f>
        <v>6695.28</v>
      </c>
      <c r="J71" s="22">
        <f>I71*(1+J12)</f>
        <v>6829.1855999999998</v>
      </c>
      <c r="K71" s="22">
        <f>J71*(1+K12)</f>
        <v>6965.7693120000004</v>
      </c>
      <c r="L71" s="22">
        <f>K71*(1+L12)</f>
        <v>7105.0846982400008</v>
      </c>
      <c r="M71" s="22">
        <f>L71*(1+M12)</f>
        <v>7247.1863922048005</v>
      </c>
      <c r="N71" s="22">
        <f>M71*(1+N12)</f>
        <v>7392.130120048897</v>
      </c>
    </row>
    <row r="72" spans="2:14">
      <c r="B72" t="s">
        <v>8</v>
      </c>
      <c r="E72" s="13"/>
      <c r="F72" s="21">
        <v>-54</v>
      </c>
      <c r="G72" s="21">
        <v>-167</v>
      </c>
      <c r="H72" s="21" t="s">
        <v>18</v>
      </c>
      <c r="I72" s="13" t="s">
        <v>18</v>
      </c>
      <c r="J72" s="13" t="s">
        <v>18</v>
      </c>
      <c r="K72" s="13" t="s">
        <v>18</v>
      </c>
      <c r="L72" s="13" t="s">
        <v>18</v>
      </c>
      <c r="M72" s="13" t="s">
        <v>18</v>
      </c>
      <c r="N72" s="13" t="s">
        <v>18</v>
      </c>
    </row>
    <row r="73" spans="2:14">
      <c r="B73" s="1" t="s">
        <v>164</v>
      </c>
      <c r="C73" s="1"/>
      <c r="E73" s="13"/>
      <c r="F73" s="38">
        <f>F69+F71</f>
        <v>10400</v>
      </c>
      <c r="G73" s="38">
        <f t="shared" ref="G73:H73" si="10">G69+G71</f>
        <v>11084</v>
      </c>
      <c r="H73" s="38">
        <f t="shared" si="10"/>
        <v>11408</v>
      </c>
      <c r="I73" s="22">
        <f>H73*(1+I12)</f>
        <v>11636.16</v>
      </c>
      <c r="J73" s="22">
        <f>I73*(1+J12)</f>
        <v>11868.8832</v>
      </c>
      <c r="K73" s="22">
        <f>J73*(1+K12)</f>
        <v>12106.260864</v>
      </c>
      <c r="L73" s="22">
        <f>K73*(1+L12)</f>
        <v>12348.386081279999</v>
      </c>
      <c r="M73" s="22">
        <f>L73*(1+M12)</f>
        <v>12595.3538029056</v>
      </c>
      <c r="N73" s="22">
        <f>M73*(1+N12)</f>
        <v>12847.260878963712</v>
      </c>
    </row>
    <row r="74" spans="2:14">
      <c r="B74" s="4" t="s">
        <v>10</v>
      </c>
      <c r="C74" s="4"/>
      <c r="D74" s="4"/>
      <c r="E74" s="25"/>
      <c r="F74" s="26">
        <f>F70-SUM(F71:F72)</f>
        <v>7391</v>
      </c>
      <c r="G74" s="26">
        <f>G70-SUM(G71:G72)</f>
        <v>8176</v>
      </c>
      <c r="H74" s="26">
        <f>H70-SUM(H71:H72)</f>
        <v>9048</v>
      </c>
      <c r="I74" s="26">
        <f t="shared" ref="I74:N74" si="11">I70-SUM(I71:I72)</f>
        <v>9292.7185647242877</v>
      </c>
      <c r="J74" s="26">
        <f t="shared" si="11"/>
        <v>9691.776662983968</v>
      </c>
      <c r="K74" s="26">
        <f t="shared" si="11"/>
        <v>10108.838614422271</v>
      </c>
      <c r="L74" s="26">
        <f t="shared" si="11"/>
        <v>10703.310189784745</v>
      </c>
      <c r="M74" s="26">
        <f t="shared" si="11"/>
        <v>11663.247731402844</v>
      </c>
      <c r="N74" s="26">
        <f t="shared" si="11"/>
        <v>12694.760778738811</v>
      </c>
    </row>
    <row r="75" spans="2:14">
      <c r="B75" t="s">
        <v>138</v>
      </c>
      <c r="E75" s="13"/>
      <c r="F75" s="21">
        <v>3212</v>
      </c>
      <c r="G75" s="21">
        <v>3162</v>
      </c>
      <c r="H75" s="21">
        <v>3138</v>
      </c>
      <c r="I75" s="22">
        <f>I15</f>
        <v>3170.6666666666665</v>
      </c>
      <c r="J75" s="22">
        <f>J15</f>
        <v>3156.8888888888887</v>
      </c>
      <c r="K75" s="22">
        <f>K15</f>
        <v>3155.1851851851848</v>
      </c>
      <c r="L75" s="22">
        <f>L15</f>
        <v>3160.9135802469132</v>
      </c>
      <c r="M75" s="22">
        <f>M15</f>
        <v>3157.662551440329</v>
      </c>
      <c r="N75" s="22">
        <f>N15</f>
        <v>3157.9204389574757</v>
      </c>
    </row>
    <row r="76" spans="2:14">
      <c r="B76" t="s">
        <v>11</v>
      </c>
      <c r="E76" s="13"/>
      <c r="F76" s="21">
        <v>733</v>
      </c>
      <c r="G76" s="21">
        <v>976</v>
      </c>
      <c r="H76" s="21">
        <v>1195</v>
      </c>
      <c r="I76" s="13">
        <f>H76*(1+I13)</f>
        <v>1434</v>
      </c>
      <c r="J76" s="13">
        <f>I76*(1+J13)</f>
        <v>1720.8</v>
      </c>
      <c r="K76" s="13">
        <f>J76*(1+K13)</f>
        <v>2064.96</v>
      </c>
      <c r="L76" s="13">
        <f>K76*(1+L13)</f>
        <v>2477.9519999999998</v>
      </c>
      <c r="M76" s="13">
        <f>L76*(1+M13)</f>
        <v>2973.5423999999998</v>
      </c>
      <c r="N76" s="13">
        <f>M76*(1+N13)</f>
        <v>3568.2508799999996</v>
      </c>
    </row>
    <row r="77" spans="2:14">
      <c r="B77" t="s">
        <v>12</v>
      </c>
      <c r="E77" s="13"/>
      <c r="F77" s="21">
        <v>94</v>
      </c>
      <c r="G77" s="21">
        <v>140</v>
      </c>
      <c r="H77" s="21">
        <v>178</v>
      </c>
      <c r="I77" s="13">
        <f t="shared" ref="I77:N77" si="12">H77*(1+0.02)</f>
        <v>181.56</v>
      </c>
      <c r="J77" s="13">
        <f t="shared" si="12"/>
        <v>185.19120000000001</v>
      </c>
      <c r="K77" s="13">
        <f t="shared" si="12"/>
        <v>188.89502400000001</v>
      </c>
      <c r="L77" s="13">
        <f t="shared" si="12"/>
        <v>192.67292448000001</v>
      </c>
      <c r="M77" s="13">
        <f t="shared" si="12"/>
        <v>196.52638296960001</v>
      </c>
      <c r="N77" s="13">
        <f t="shared" si="12"/>
        <v>200.45691062899201</v>
      </c>
    </row>
    <row r="78" spans="2:14">
      <c r="B78" s="1" t="s">
        <v>155</v>
      </c>
      <c r="C78" s="1"/>
      <c r="D78" s="1"/>
      <c r="E78" s="23"/>
      <c r="F78" s="24">
        <f t="shared" ref="F78:G78" si="13">F74-SUM(F75:F77)</f>
        <v>3352</v>
      </c>
      <c r="G78" s="24">
        <f t="shared" si="13"/>
        <v>3898</v>
      </c>
      <c r="H78" s="24">
        <f>H74-SUM(H75:H77)</f>
        <v>4537</v>
      </c>
      <c r="I78" s="24">
        <f>I74-SUM(I75:I77)</f>
        <v>4506.4918980576213</v>
      </c>
      <c r="J78" s="24">
        <f t="shared" ref="J78:N78" si="14">J74-SUM(J75:J77)</f>
        <v>4628.8965740950789</v>
      </c>
      <c r="K78" s="24">
        <f t="shared" si="14"/>
        <v>4699.7984052370857</v>
      </c>
      <c r="L78" s="24">
        <f t="shared" si="14"/>
        <v>4871.7716850578317</v>
      </c>
      <c r="M78" s="24">
        <f t="shared" si="14"/>
        <v>5335.5163969929154</v>
      </c>
      <c r="N78" s="24">
        <f t="shared" si="14"/>
        <v>5768.1325491523448</v>
      </c>
    </row>
    <row r="79" spans="2:14">
      <c r="B79" t="s">
        <v>14</v>
      </c>
      <c r="E79" s="13"/>
      <c r="F79" s="21">
        <v>551</v>
      </c>
      <c r="G79" s="21">
        <v>754</v>
      </c>
      <c r="H79" s="21">
        <v>641</v>
      </c>
      <c r="I79" s="13">
        <f>I78*I14</f>
        <v>766.10362266979564</v>
      </c>
      <c r="J79" s="13">
        <f>J78*J14</f>
        <v>786.91241759616344</v>
      </c>
      <c r="K79" s="13">
        <f>K78*K14</f>
        <v>798.9657288903046</v>
      </c>
      <c r="L79" s="13">
        <f>L78*L14</f>
        <v>828.20118645983143</v>
      </c>
      <c r="M79" s="13">
        <f>M78*M14</f>
        <v>907.03778748879563</v>
      </c>
      <c r="N79" s="13">
        <f>N78*N14</f>
        <v>980.5825333558987</v>
      </c>
    </row>
    <row r="80" spans="2:14">
      <c r="B80" s="1" t="s">
        <v>117</v>
      </c>
      <c r="C80" s="1"/>
      <c r="D80" s="1"/>
      <c r="E80" s="23"/>
      <c r="F80" s="24">
        <f>F78-F79</f>
        <v>2801</v>
      </c>
      <c r="G80" s="24">
        <f>G78-G79</f>
        <v>3144</v>
      </c>
      <c r="H80" s="24">
        <f>H78-H79</f>
        <v>3896</v>
      </c>
      <c r="I80" s="24">
        <f t="shared" ref="I80:N80" si="15">I78-I79</f>
        <v>3740.3882753878256</v>
      </c>
      <c r="J80" s="24">
        <f t="shared" si="15"/>
        <v>3841.9841564989156</v>
      </c>
      <c r="K80" s="24">
        <f t="shared" si="15"/>
        <v>3900.8326763467812</v>
      </c>
      <c r="L80" s="24">
        <f t="shared" si="15"/>
        <v>4043.5704985980001</v>
      </c>
      <c r="M80" s="24">
        <f t="shared" si="15"/>
        <v>4428.47860950412</v>
      </c>
      <c r="N80" s="24">
        <f t="shared" si="15"/>
        <v>4787.5500157964461</v>
      </c>
    </row>
    <row r="81" spans="2:14">
      <c r="B81" t="s">
        <v>25</v>
      </c>
      <c r="E81" s="13"/>
      <c r="F81" s="21">
        <v>220</v>
      </c>
      <c r="G81" s="21">
        <v>-15</v>
      </c>
      <c r="H81" s="21">
        <v>-685</v>
      </c>
      <c r="I81" s="22">
        <f t="shared" ref="I81:N81" si="16">AVERAGE(F81:H81)</f>
        <v>-160</v>
      </c>
      <c r="J81" s="22">
        <f t="shared" si="16"/>
        <v>-286.66666666666669</v>
      </c>
      <c r="K81" s="22">
        <f t="shared" si="16"/>
        <v>-377.22222222222223</v>
      </c>
      <c r="L81" s="22">
        <f t="shared" si="16"/>
        <v>-274.62962962962962</v>
      </c>
      <c r="M81" s="22">
        <f t="shared" si="16"/>
        <v>-312.83950617283949</v>
      </c>
      <c r="N81" s="22">
        <f t="shared" si="16"/>
        <v>-321.56378600823047</v>
      </c>
    </row>
    <row r="82" spans="2:14">
      <c r="B82" s="4" t="s">
        <v>15</v>
      </c>
      <c r="C82" s="4"/>
      <c r="D82" s="4"/>
      <c r="E82" s="25"/>
      <c r="F82" s="26">
        <f>F78-F79+F81</f>
        <v>3021</v>
      </c>
      <c r="G82" s="26">
        <f>G78-G79+G81</f>
        <v>3129</v>
      </c>
      <c r="H82" s="26">
        <f>H78-H79+H81</f>
        <v>3211</v>
      </c>
      <c r="I82" s="26">
        <f t="shared" ref="I82:N82" si="17">I78-I79+I81</f>
        <v>3580.3882753878256</v>
      </c>
      <c r="J82" s="26">
        <f t="shared" si="17"/>
        <v>3555.3174898322491</v>
      </c>
      <c r="K82" s="26">
        <f t="shared" si="17"/>
        <v>3523.6104541245591</v>
      </c>
      <c r="L82" s="26">
        <f t="shared" si="17"/>
        <v>3768.9408689683705</v>
      </c>
      <c r="M82" s="26">
        <f t="shared" si="17"/>
        <v>4115.6391033312802</v>
      </c>
      <c r="N82" s="26">
        <f t="shared" si="17"/>
        <v>4465.9862297882155</v>
      </c>
    </row>
    <row r="83" spans="2:14">
      <c r="E83" s="13"/>
      <c r="F83" s="22"/>
      <c r="G83" s="22"/>
      <c r="H83" s="22"/>
      <c r="I83" s="13"/>
      <c r="J83" s="13"/>
      <c r="K83" s="13"/>
      <c r="L83" s="13"/>
      <c r="M83" s="13"/>
      <c r="N83" s="13"/>
    </row>
    <row r="84" spans="2:14">
      <c r="B84" t="s">
        <v>16</v>
      </c>
      <c r="E84" s="13"/>
      <c r="F84" s="22">
        <v>628</v>
      </c>
      <c r="G84" s="22">
        <v>590</v>
      </c>
      <c r="H84" s="22">
        <v>561</v>
      </c>
      <c r="I84" s="22">
        <f t="shared" ref="I84:N84" si="18">H84+36</f>
        <v>597</v>
      </c>
      <c r="J84" s="22">
        <f t="shared" si="18"/>
        <v>633</v>
      </c>
      <c r="K84" s="22">
        <f t="shared" si="18"/>
        <v>669</v>
      </c>
      <c r="L84" s="22">
        <f t="shared" si="18"/>
        <v>705</v>
      </c>
      <c r="M84" s="22">
        <f t="shared" si="18"/>
        <v>741</v>
      </c>
      <c r="N84" s="22">
        <f t="shared" si="18"/>
        <v>777</v>
      </c>
    </row>
    <row r="85" spans="2:14">
      <c r="B85" s="1" t="s">
        <v>17</v>
      </c>
      <c r="C85" s="1"/>
      <c r="E85" s="13"/>
      <c r="F85" s="27">
        <f t="shared" ref="F85:N85" si="19">F82/F84</f>
        <v>4.8105095541401273</v>
      </c>
      <c r="G85" s="27">
        <f t="shared" si="19"/>
        <v>5.3033898305084746</v>
      </c>
      <c r="H85" s="27">
        <f t="shared" si="19"/>
        <v>5.7237076648841354</v>
      </c>
      <c r="I85" s="27">
        <f t="shared" si="19"/>
        <v>5.9973002937819526</v>
      </c>
      <c r="J85" s="27">
        <f t="shared" si="19"/>
        <v>5.6166153077918626</v>
      </c>
      <c r="K85" s="27">
        <f t="shared" si="19"/>
        <v>5.266981246822958</v>
      </c>
      <c r="L85" s="27">
        <f t="shared" si="19"/>
        <v>5.346015416976412</v>
      </c>
      <c r="M85" s="27">
        <f t="shared" si="19"/>
        <v>5.5541688304065859</v>
      </c>
      <c r="N85" s="27">
        <f t="shared" si="19"/>
        <v>5.747730025467459</v>
      </c>
    </row>
    <row r="86" spans="2:14">
      <c r="E86" s="13"/>
      <c r="F86" s="13"/>
      <c r="G86" s="13"/>
      <c r="H86" s="13"/>
      <c r="I86" s="13"/>
      <c r="J86" s="13"/>
      <c r="K86" s="13"/>
      <c r="L86" s="13"/>
      <c r="M86" s="13"/>
      <c r="N86" s="13"/>
    </row>
    <row r="87" spans="2:14">
      <c r="E87" s="13"/>
      <c r="F87" s="13"/>
      <c r="G87" s="13"/>
      <c r="H87" s="13"/>
      <c r="I87" s="13"/>
      <c r="J87" s="13"/>
      <c r="K87" s="13"/>
      <c r="L87" s="13"/>
      <c r="M87" s="13"/>
      <c r="N87" s="13"/>
    </row>
    <row r="88" spans="2:14">
      <c r="B88" s="5" t="s">
        <v>19</v>
      </c>
      <c r="C88" s="5"/>
      <c r="D88" s="6"/>
      <c r="E88" s="19"/>
      <c r="F88" s="19"/>
      <c r="G88" s="19"/>
      <c r="H88" s="19"/>
      <c r="I88" s="13"/>
      <c r="J88" s="13"/>
      <c r="K88" s="13"/>
      <c r="L88" s="13"/>
      <c r="M88" s="13"/>
      <c r="N88" s="13"/>
    </row>
    <row r="89" spans="2:14">
      <c r="B89" t="s">
        <v>20</v>
      </c>
      <c r="E89" s="13"/>
      <c r="F89" s="13"/>
      <c r="G89" s="17">
        <f>(G64-F64)/F64</f>
        <v>8.0912863070539423E-2</v>
      </c>
      <c r="H89" s="17">
        <f>(H64-G64)/G64</f>
        <v>6.442738323736405E-2</v>
      </c>
      <c r="I89" s="13"/>
      <c r="J89" s="13"/>
      <c r="K89" s="13"/>
      <c r="L89" s="13"/>
      <c r="M89" s="13"/>
      <c r="N89" s="13"/>
    </row>
    <row r="90" spans="2:14">
      <c r="B90" t="s">
        <v>23</v>
      </c>
      <c r="E90" s="13"/>
      <c r="F90" s="13"/>
      <c r="G90" s="17">
        <f>(G70-F70)/F70</f>
        <v>8.8757838160644975E-2</v>
      </c>
      <c r="H90" s="17">
        <f>(H70-G70)/G70</f>
        <v>7.0414809736030162E-2</v>
      </c>
      <c r="I90" s="13"/>
      <c r="J90" s="13"/>
      <c r="K90" s="13"/>
      <c r="L90" s="13"/>
      <c r="M90" s="13"/>
      <c r="N90" s="13"/>
    </row>
    <row r="91" spans="2:14">
      <c r="B91" t="s">
        <v>21</v>
      </c>
      <c r="E91" s="13"/>
      <c r="F91" s="13"/>
      <c r="G91" s="17">
        <f>(G74-F74)/F74</f>
        <v>0.10621025571641185</v>
      </c>
      <c r="H91" s="17">
        <f>(H74-G74)/G74</f>
        <v>0.10665362035225048</v>
      </c>
      <c r="I91" s="13"/>
      <c r="J91" s="13"/>
      <c r="K91" s="13"/>
      <c r="L91" s="13"/>
      <c r="M91" s="13"/>
      <c r="N91" s="13"/>
    </row>
    <row r="92" spans="2:14">
      <c r="B92" t="s">
        <v>24</v>
      </c>
      <c r="E92" s="13"/>
      <c r="F92" s="13"/>
      <c r="G92" s="17">
        <f>(G71-F71)/F71</f>
        <v>8.5327611817131541E-2</v>
      </c>
      <c r="H92" s="17">
        <f>(H71-G71)/G71</f>
        <v>-1.8248175182481751E-3</v>
      </c>
      <c r="I92" s="13"/>
      <c r="J92" s="13"/>
      <c r="K92" s="13"/>
      <c r="L92" s="13"/>
      <c r="M92" s="13"/>
      <c r="N92" s="13"/>
    </row>
    <row r="93" spans="2:14">
      <c r="B93" t="s">
        <v>22</v>
      </c>
      <c r="E93" s="13"/>
      <c r="F93" s="13"/>
      <c r="G93" s="17">
        <f>(G82-F82)/F82</f>
        <v>3.5749751737835157E-2</v>
      </c>
      <c r="H93" s="17">
        <f>(H82-G82)/G82</f>
        <v>2.6206455736657079E-2</v>
      </c>
      <c r="I93" s="13"/>
      <c r="J93" s="13"/>
      <c r="K93" s="13"/>
      <c r="L93" s="13"/>
      <c r="M93" s="13"/>
      <c r="N93" s="13"/>
    </row>
    <row r="94" spans="2:14">
      <c r="E94" s="13"/>
      <c r="F94" s="13"/>
      <c r="G94" s="13"/>
      <c r="H94" s="13"/>
      <c r="I94" s="13"/>
      <c r="J94" s="13"/>
      <c r="K94" s="13"/>
      <c r="L94" s="13"/>
      <c r="M94" s="13"/>
      <c r="N94" s="13"/>
    </row>
    <row r="95" spans="2:14">
      <c r="B95" t="s">
        <v>26</v>
      </c>
      <c r="E95" s="13"/>
      <c r="F95" s="17">
        <f>F70/F66</f>
        <v>0.75525737159609851</v>
      </c>
      <c r="G95" s="17">
        <f>G70/G66</f>
        <v>0.76389252605667002</v>
      </c>
      <c r="H95" s="17">
        <f>H70/H66</f>
        <v>0.7631990614000782</v>
      </c>
      <c r="I95" s="13"/>
      <c r="J95" s="13"/>
      <c r="K95" s="13"/>
      <c r="L95" s="13"/>
      <c r="M95" s="13"/>
      <c r="N95" s="13"/>
    </row>
    <row r="96" spans="2:14">
      <c r="B96" t="s">
        <v>27</v>
      </c>
      <c r="E96" s="13"/>
      <c r="F96" s="17">
        <f>F74/F66</f>
        <v>0.41669955460337149</v>
      </c>
      <c r="G96" s="17">
        <f>G74/G66</f>
        <v>0.42821976640653642</v>
      </c>
      <c r="H96" s="17">
        <f>H74/H66</f>
        <v>0.4423152131403989</v>
      </c>
      <c r="I96" s="13"/>
      <c r="J96" s="13"/>
      <c r="K96" s="13"/>
      <c r="L96" s="13"/>
      <c r="M96" s="13"/>
      <c r="N96" s="13"/>
    </row>
    <row r="97" spans="2:17">
      <c r="B97" t="s">
        <v>28</v>
      </c>
      <c r="E97" s="13"/>
      <c r="F97" s="17">
        <f>F71/F70</f>
        <v>0.45229919378919081</v>
      </c>
      <c r="G97" s="17">
        <f>G71/G70</f>
        <v>0.45087418580733629</v>
      </c>
      <c r="H97" s="17">
        <f>H71/H70</f>
        <v>0.42044581091468103</v>
      </c>
      <c r="I97" s="13"/>
      <c r="J97" s="13"/>
      <c r="K97" s="13"/>
      <c r="L97" s="13"/>
      <c r="M97" s="13"/>
      <c r="N97" s="13"/>
    </row>
    <row r="98" spans="2:17">
      <c r="E98" s="13"/>
      <c r="F98" s="13"/>
      <c r="G98" s="13"/>
      <c r="H98" s="13"/>
      <c r="I98" s="13"/>
      <c r="J98" s="13"/>
      <c r="K98" s="13"/>
      <c r="L98" s="13"/>
      <c r="M98" s="13"/>
      <c r="N98" s="13"/>
    </row>
    <row r="99" spans="2:17">
      <c r="E99" s="13"/>
      <c r="F99" s="13"/>
      <c r="G99" s="13"/>
      <c r="H99" s="13"/>
      <c r="I99" s="13"/>
      <c r="J99" s="13"/>
      <c r="K99" s="13"/>
      <c r="L99" s="13"/>
      <c r="M99" s="13"/>
      <c r="N99" s="13"/>
    </row>
    <row r="100" spans="2:17" ht="21">
      <c r="B100" s="39" t="s">
        <v>29</v>
      </c>
      <c r="C100" s="39"/>
      <c r="D100" s="40"/>
      <c r="E100" s="41"/>
      <c r="F100" s="42"/>
      <c r="G100" s="42"/>
      <c r="H100" s="42"/>
      <c r="I100" s="57"/>
      <c r="J100" s="57"/>
      <c r="K100" s="57"/>
      <c r="L100" s="57"/>
      <c r="M100" s="57"/>
      <c r="N100" s="57"/>
      <c r="O100" s="56"/>
      <c r="P100" s="56"/>
      <c r="Q100" s="56"/>
    </row>
    <row r="101" spans="2:17">
      <c r="B101" s="1" t="s">
        <v>64</v>
      </c>
      <c r="C101" s="1"/>
      <c r="E101" s="13"/>
      <c r="F101" s="30">
        <v>44926</v>
      </c>
      <c r="G101" s="30">
        <f>EOMONTH(F101,12)</f>
        <v>45291</v>
      </c>
      <c r="H101" s="30">
        <f>EOMONTH(G101,12)</f>
        <v>45657</v>
      </c>
      <c r="I101" s="13"/>
      <c r="J101" s="13"/>
      <c r="K101" s="13"/>
      <c r="L101" s="13"/>
      <c r="M101" s="13"/>
      <c r="N101" s="13"/>
    </row>
    <row r="102" spans="2:17">
      <c r="B102" t="s">
        <v>30</v>
      </c>
      <c r="E102" s="13"/>
      <c r="F102" s="21">
        <v>902</v>
      </c>
      <c r="G102" s="21">
        <v>1204</v>
      </c>
      <c r="H102" s="21">
        <v>1236</v>
      </c>
      <c r="I102" s="13"/>
      <c r="J102" s="13"/>
      <c r="K102" s="13"/>
      <c r="L102" s="13"/>
      <c r="M102" s="13"/>
      <c r="N102" s="13"/>
    </row>
    <row r="103" spans="2:17">
      <c r="B103" t="s">
        <v>31</v>
      </c>
      <c r="E103" s="13"/>
      <c r="F103" s="21">
        <v>3585</v>
      </c>
      <c r="G103" s="21">
        <v>3582</v>
      </c>
      <c r="H103" s="21">
        <v>3725</v>
      </c>
      <c r="I103" s="13"/>
      <c r="J103" s="13"/>
      <c r="K103" s="13"/>
      <c r="L103" s="13"/>
      <c r="M103" s="13"/>
      <c r="N103" s="13"/>
    </row>
    <row r="104" spans="2:17">
      <c r="B104" t="s">
        <v>32</v>
      </c>
      <c r="E104" s="13"/>
      <c r="F104" s="21">
        <v>431</v>
      </c>
      <c r="G104" s="21">
        <v>423</v>
      </c>
      <c r="H104" s="21">
        <v>404</v>
      </c>
      <c r="I104" s="13"/>
      <c r="J104" s="13"/>
      <c r="K104" s="13"/>
      <c r="L104" s="13"/>
      <c r="M104" s="13"/>
      <c r="N104" s="13"/>
    </row>
    <row r="105" spans="2:17">
      <c r="B105" s="56" t="s">
        <v>33</v>
      </c>
      <c r="C105" s="56"/>
      <c r="E105" s="13"/>
      <c r="F105" s="21">
        <v>21482</v>
      </c>
      <c r="G105" s="21">
        <v>27681</v>
      </c>
      <c r="H105" s="21">
        <v>15429</v>
      </c>
      <c r="I105" s="13"/>
      <c r="J105" s="13"/>
      <c r="K105" s="13"/>
      <c r="L105" s="13"/>
      <c r="M105" s="13"/>
      <c r="N105" s="13"/>
    </row>
    <row r="106" spans="2:17">
      <c r="B106" s="56" t="s">
        <v>145</v>
      </c>
      <c r="C106" s="56"/>
      <c r="E106" s="13"/>
      <c r="F106" s="21">
        <v>1144</v>
      </c>
      <c r="G106" s="21">
        <v>1921</v>
      </c>
      <c r="H106" s="21">
        <v>2683</v>
      </c>
      <c r="I106" s="13"/>
      <c r="J106" s="13"/>
      <c r="K106" s="13"/>
      <c r="L106" s="13"/>
      <c r="M106" s="13"/>
      <c r="N106" s="13"/>
    </row>
    <row r="107" spans="2:17">
      <c r="B107" s="1" t="s">
        <v>34</v>
      </c>
      <c r="C107" s="1"/>
      <c r="D107" s="1"/>
      <c r="E107" s="23"/>
      <c r="F107" s="28">
        <f>SUM(F102:F106)</f>
        <v>27544</v>
      </c>
      <c r="G107" s="28">
        <f>SUM(G102:G106)</f>
        <v>34811</v>
      </c>
      <c r="H107" s="28">
        <f>SUM(H102:H106)</f>
        <v>23477</v>
      </c>
      <c r="I107" s="13"/>
      <c r="J107" s="13"/>
      <c r="K107" s="13"/>
      <c r="L107" s="13"/>
      <c r="M107" s="13"/>
      <c r="N107" s="13"/>
    </row>
    <row r="108" spans="2:17">
      <c r="B108" s="1"/>
      <c r="C108" s="1"/>
      <c r="D108" s="1"/>
      <c r="E108" s="23"/>
      <c r="F108" s="28"/>
      <c r="G108" s="28"/>
      <c r="H108" s="28"/>
      <c r="I108" s="13"/>
      <c r="J108" s="13"/>
      <c r="K108" s="13"/>
      <c r="L108" s="13"/>
      <c r="M108" s="13"/>
      <c r="N108" s="13"/>
    </row>
    <row r="109" spans="2:17">
      <c r="B109" s="1" t="s">
        <v>65</v>
      </c>
      <c r="C109" s="1"/>
      <c r="E109" s="13"/>
      <c r="F109" s="21"/>
      <c r="G109" s="21"/>
      <c r="H109" s="21"/>
      <c r="I109" s="13"/>
      <c r="J109" s="13"/>
      <c r="K109" s="13"/>
      <c r="L109" s="13"/>
      <c r="M109" s="13"/>
      <c r="N109" s="13"/>
    </row>
    <row r="110" spans="2:17">
      <c r="B110" t="s">
        <v>35</v>
      </c>
      <c r="E110" s="13"/>
      <c r="F110" s="21">
        <v>1958</v>
      </c>
      <c r="G110" s="21">
        <v>2161</v>
      </c>
      <c r="H110" s="21">
        <v>2374</v>
      </c>
      <c r="I110" s="13"/>
      <c r="J110" s="13"/>
      <c r="K110" s="13"/>
      <c r="L110" s="13"/>
      <c r="M110" s="13"/>
      <c r="N110" s="13"/>
    </row>
    <row r="111" spans="2:17">
      <c r="B111" s="56" t="s">
        <v>36</v>
      </c>
      <c r="C111" s="56"/>
      <c r="E111" s="13"/>
      <c r="F111" s="21">
        <v>8424</v>
      </c>
      <c r="G111" s="21">
        <v>7075</v>
      </c>
      <c r="H111" s="21">
        <v>5868</v>
      </c>
      <c r="I111" s="13"/>
      <c r="J111" s="13"/>
      <c r="K111" s="13"/>
      <c r="L111" s="13"/>
      <c r="M111" s="13"/>
      <c r="N111" s="13"/>
    </row>
    <row r="112" spans="2:17">
      <c r="B112" t="s">
        <v>37</v>
      </c>
      <c r="E112" s="13"/>
      <c r="F112" s="21">
        <v>3991</v>
      </c>
      <c r="G112" s="21">
        <v>4135</v>
      </c>
      <c r="H112" s="21">
        <v>4072</v>
      </c>
      <c r="I112" s="13"/>
      <c r="J112" s="13"/>
      <c r="K112" s="13"/>
      <c r="L112" s="13"/>
      <c r="M112" s="13"/>
      <c r="N112" s="13"/>
    </row>
    <row r="113" spans="2:14">
      <c r="B113" s="56" t="s">
        <v>38</v>
      </c>
      <c r="C113" s="56"/>
      <c r="E113" s="13"/>
      <c r="F113" s="21">
        <v>36811</v>
      </c>
      <c r="G113" s="21">
        <v>37205</v>
      </c>
      <c r="H113" s="21">
        <v>36584</v>
      </c>
      <c r="I113" s="13"/>
      <c r="J113" s="13"/>
      <c r="K113" s="13"/>
      <c r="L113" s="13"/>
      <c r="M113" s="13"/>
      <c r="N113" s="13"/>
    </row>
    <row r="114" spans="2:14">
      <c r="B114" s="56" t="s">
        <v>39</v>
      </c>
      <c r="C114" s="56"/>
      <c r="E114" s="13"/>
      <c r="F114" s="21">
        <v>905</v>
      </c>
      <c r="G114" s="21">
        <v>968</v>
      </c>
      <c r="H114" s="21">
        <v>996</v>
      </c>
      <c r="I114" s="13"/>
      <c r="J114" s="13"/>
      <c r="K114" s="13"/>
      <c r="L114" s="13"/>
      <c r="M114" s="13"/>
      <c r="N114" s="13"/>
    </row>
    <row r="115" spans="2:14">
      <c r="B115" t="s">
        <v>40</v>
      </c>
      <c r="E115" s="13"/>
      <c r="F115" s="21">
        <v>2403</v>
      </c>
      <c r="G115" s="21">
        <v>2262</v>
      </c>
      <c r="H115" s="21">
        <v>1506</v>
      </c>
      <c r="I115" s="13"/>
      <c r="J115" s="13"/>
      <c r="K115" s="13"/>
      <c r="L115" s="13"/>
      <c r="M115" s="13"/>
      <c r="N115" s="13"/>
    </row>
    <row r="116" spans="2:14">
      <c r="B116" t="s">
        <v>41</v>
      </c>
      <c r="E116" s="13"/>
      <c r="F116" s="21">
        <v>1833</v>
      </c>
      <c r="G116" s="21">
        <v>2273</v>
      </c>
      <c r="H116" s="21">
        <v>2299</v>
      </c>
      <c r="I116" s="13"/>
      <c r="J116" s="13"/>
      <c r="K116" s="13"/>
      <c r="L116" s="13"/>
      <c r="M116" s="13"/>
      <c r="N116" s="13"/>
    </row>
    <row r="117" spans="2:14">
      <c r="B117" s="4" t="s">
        <v>42</v>
      </c>
      <c r="C117" s="4"/>
      <c r="D117" s="4"/>
      <c r="E117" s="25"/>
      <c r="F117" s="26">
        <f>F107+SUM(F110:F116)</f>
        <v>83869</v>
      </c>
      <c r="G117" s="26">
        <f>G107+SUM(G110:G116)</f>
        <v>90890</v>
      </c>
      <c r="H117" s="26">
        <f>H107+SUM(H110:H116)</f>
        <v>77176</v>
      </c>
      <c r="I117" s="13"/>
      <c r="J117" s="13"/>
      <c r="K117" s="13"/>
      <c r="L117" s="13"/>
      <c r="M117" s="13"/>
      <c r="N117" s="13"/>
    </row>
    <row r="118" spans="2:14">
      <c r="E118" s="13"/>
      <c r="F118" s="22"/>
      <c r="G118" s="22"/>
      <c r="H118" s="22"/>
      <c r="I118" s="13"/>
      <c r="J118" s="13"/>
      <c r="K118" s="13"/>
      <c r="L118" s="13"/>
      <c r="M118" s="13"/>
      <c r="N118" s="13"/>
    </row>
    <row r="119" spans="2:14">
      <c r="B119" t="s">
        <v>43</v>
      </c>
      <c r="E119" s="13"/>
      <c r="F119" s="21">
        <v>3883</v>
      </c>
      <c r="G119" s="21">
        <v>4355</v>
      </c>
      <c r="H119" s="21">
        <v>4799</v>
      </c>
      <c r="I119" s="13"/>
      <c r="J119" s="13"/>
      <c r="K119" s="13"/>
      <c r="L119" s="13"/>
      <c r="M119" s="13"/>
      <c r="N119" s="13"/>
    </row>
    <row r="120" spans="2:14">
      <c r="B120" t="s">
        <v>44</v>
      </c>
      <c r="E120" s="13"/>
      <c r="F120" s="21">
        <v>468</v>
      </c>
      <c r="G120" s="21">
        <v>755</v>
      </c>
      <c r="H120" s="21">
        <v>1110</v>
      </c>
      <c r="I120" s="13"/>
      <c r="J120" s="13"/>
      <c r="K120" s="13"/>
      <c r="L120" s="13"/>
      <c r="M120" s="13"/>
      <c r="N120" s="13"/>
    </row>
    <row r="121" spans="2:14">
      <c r="B121" t="s">
        <v>45</v>
      </c>
      <c r="E121" s="13"/>
      <c r="F121" s="21">
        <v>625</v>
      </c>
      <c r="G121" s="21">
        <v>761</v>
      </c>
      <c r="H121" s="21">
        <v>819</v>
      </c>
      <c r="I121" s="13"/>
      <c r="J121" s="13"/>
      <c r="K121" s="13"/>
      <c r="L121" s="13"/>
      <c r="M121" s="13"/>
      <c r="N121" s="13"/>
    </row>
    <row r="122" spans="2:14">
      <c r="B122" t="s">
        <v>46</v>
      </c>
      <c r="E122" s="13"/>
      <c r="F122" s="21">
        <v>21482</v>
      </c>
      <c r="G122" s="21">
        <v>27681</v>
      </c>
      <c r="H122" s="21">
        <v>15429</v>
      </c>
      <c r="I122" s="13"/>
      <c r="J122" s="13"/>
      <c r="K122" s="13"/>
      <c r="L122" s="13"/>
      <c r="M122" s="13"/>
      <c r="N122" s="13"/>
    </row>
    <row r="123" spans="2:14">
      <c r="B123" s="1" t="s">
        <v>47</v>
      </c>
      <c r="C123" s="1"/>
      <c r="D123" s="1"/>
      <c r="E123" s="23"/>
      <c r="F123" s="24">
        <f>SUM(F119:F122)</f>
        <v>26458</v>
      </c>
      <c r="G123" s="24">
        <f>SUM(G119:G122)</f>
        <v>33552</v>
      </c>
      <c r="H123" s="24">
        <f>SUM(H119:H122)</f>
        <v>22157</v>
      </c>
      <c r="I123" s="13"/>
      <c r="J123" s="13"/>
      <c r="K123" s="13"/>
      <c r="L123" s="13"/>
      <c r="M123" s="13"/>
      <c r="N123" s="13"/>
    </row>
    <row r="124" spans="2:14">
      <c r="E124" s="13"/>
      <c r="F124" s="22"/>
      <c r="G124" s="22"/>
      <c r="H124" s="22"/>
      <c r="I124" s="13"/>
      <c r="J124" s="13"/>
      <c r="K124" s="13"/>
      <c r="L124" s="13"/>
      <c r="M124" s="13"/>
      <c r="N124" s="13"/>
    </row>
    <row r="125" spans="2:14">
      <c r="B125" t="s">
        <v>48</v>
      </c>
      <c r="E125" s="13"/>
      <c r="F125" s="21">
        <v>20950</v>
      </c>
      <c r="G125" s="21">
        <v>22363</v>
      </c>
      <c r="H125" s="21">
        <v>23730</v>
      </c>
      <c r="I125" s="13"/>
      <c r="J125" s="13"/>
      <c r="K125" s="13"/>
      <c r="L125" s="13"/>
      <c r="M125" s="13"/>
      <c r="N125" s="13"/>
    </row>
    <row r="126" spans="2:14">
      <c r="B126" t="s">
        <v>49</v>
      </c>
      <c r="E126" s="13"/>
      <c r="F126" s="21">
        <v>3602</v>
      </c>
      <c r="G126" s="21">
        <v>3078</v>
      </c>
      <c r="H126" s="21">
        <v>2477</v>
      </c>
      <c r="I126" s="13"/>
      <c r="J126" s="13"/>
      <c r="K126" s="13"/>
      <c r="L126" s="13"/>
      <c r="M126" s="13"/>
      <c r="N126" s="13"/>
    </row>
    <row r="127" spans="2:14">
      <c r="B127" t="s">
        <v>50</v>
      </c>
      <c r="E127" s="13"/>
      <c r="F127" s="21">
        <v>235</v>
      </c>
      <c r="G127" s="21">
        <v>250</v>
      </c>
      <c r="H127" s="21">
        <v>263</v>
      </c>
      <c r="I127" s="13"/>
      <c r="J127" s="13"/>
      <c r="K127" s="13"/>
      <c r="L127" s="13"/>
      <c r="M127" s="13"/>
      <c r="N127" s="13"/>
    </row>
    <row r="128" spans="2:14">
      <c r="B128" t="s">
        <v>51</v>
      </c>
      <c r="E128" s="13"/>
      <c r="F128" s="21">
        <v>936</v>
      </c>
      <c r="G128" s="21">
        <v>978</v>
      </c>
      <c r="H128" s="21">
        <v>863</v>
      </c>
      <c r="I128" s="13"/>
      <c r="J128" s="13"/>
      <c r="K128" s="13"/>
      <c r="L128" s="13"/>
      <c r="M128" s="13"/>
      <c r="N128" s="13"/>
    </row>
    <row r="129" spans="1:14">
      <c r="B129" s="4" t="s">
        <v>52</v>
      </c>
      <c r="C129" s="4"/>
      <c r="D129" s="4"/>
      <c r="E129" s="25"/>
      <c r="F129" s="26">
        <f>F123+SUM(F125:F128)</f>
        <v>52181</v>
      </c>
      <c r="G129" s="26">
        <f>G123+SUM(G125:G128)</f>
        <v>60221</v>
      </c>
      <c r="H129" s="26">
        <f>H123+SUM(H125:H128)</f>
        <v>49490</v>
      </c>
      <c r="I129" s="13"/>
      <c r="J129" s="13"/>
      <c r="K129" s="13"/>
      <c r="L129" s="13"/>
      <c r="M129" s="13"/>
      <c r="N129" s="13"/>
    </row>
    <row r="130" spans="1:14">
      <c r="E130" s="13"/>
      <c r="F130" s="22"/>
      <c r="G130" s="22"/>
      <c r="H130" s="22"/>
      <c r="I130" s="13"/>
      <c r="J130" s="13"/>
      <c r="K130" s="13"/>
      <c r="L130" s="13"/>
      <c r="M130" s="13"/>
      <c r="N130" s="13"/>
    </row>
    <row r="131" spans="1:14">
      <c r="B131" t="s">
        <v>53</v>
      </c>
      <c r="E131" s="13"/>
      <c r="F131" s="21">
        <v>161</v>
      </c>
      <c r="G131" s="21">
        <v>161</v>
      </c>
      <c r="H131" s="22" t="s">
        <v>18</v>
      </c>
      <c r="I131" s="13"/>
      <c r="J131" s="13"/>
      <c r="K131" s="13"/>
      <c r="L131" s="13"/>
      <c r="M131" s="13"/>
      <c r="N131" s="13"/>
    </row>
    <row r="132" spans="1:14">
      <c r="B132" t="s">
        <v>54</v>
      </c>
      <c r="E132" s="13"/>
      <c r="F132" s="21"/>
      <c r="G132" s="21"/>
      <c r="H132" s="21" t="s">
        <v>18</v>
      </c>
      <c r="I132" s="13"/>
      <c r="J132" s="13"/>
      <c r="K132" s="13"/>
      <c r="L132" s="13"/>
      <c r="M132" s="13"/>
      <c r="N132" s="13"/>
    </row>
    <row r="133" spans="1:14">
      <c r="B133" t="s">
        <v>55</v>
      </c>
      <c r="E133" s="13"/>
      <c r="F133" s="21">
        <v>8</v>
      </c>
      <c r="G133" s="21">
        <v>8</v>
      </c>
      <c r="H133" s="21">
        <v>8</v>
      </c>
      <c r="I133" s="13"/>
      <c r="J133" s="13"/>
      <c r="K133" s="13"/>
      <c r="L133" s="13"/>
      <c r="M133" s="13"/>
      <c r="N133" s="13"/>
    </row>
    <row r="134" spans="1:14">
      <c r="B134" t="s">
        <v>56</v>
      </c>
      <c r="E134" s="13"/>
      <c r="F134" s="21">
        <v>23011</v>
      </c>
      <c r="G134" s="21">
        <v>23103</v>
      </c>
      <c r="H134" s="21">
        <v>23080</v>
      </c>
      <c r="I134" s="13"/>
      <c r="J134" s="13"/>
      <c r="K134" s="13"/>
      <c r="L134" s="13"/>
      <c r="M134" s="13"/>
      <c r="N134" s="13"/>
    </row>
    <row r="135" spans="1:14">
      <c r="B135" t="s">
        <v>57</v>
      </c>
      <c r="E135" s="13"/>
      <c r="F135" s="21">
        <v>-1189</v>
      </c>
      <c r="G135" s="21">
        <v>-783</v>
      </c>
      <c r="H135" s="21">
        <v>-1413</v>
      </c>
      <c r="I135" s="13"/>
      <c r="J135" s="13"/>
      <c r="K135" s="13"/>
      <c r="L135" s="13"/>
      <c r="M135" s="13"/>
      <c r="N135" s="13"/>
    </row>
    <row r="136" spans="1:14">
      <c r="B136" t="s">
        <v>58</v>
      </c>
      <c r="E136" s="13"/>
      <c r="F136" s="21">
        <v>17376</v>
      </c>
      <c r="G136" s="21">
        <v>20444</v>
      </c>
      <c r="H136" s="21">
        <v>23575</v>
      </c>
      <c r="I136" s="13"/>
      <c r="J136" s="13"/>
      <c r="K136" s="13"/>
      <c r="L136" s="13"/>
      <c r="M136" s="13"/>
      <c r="N136" s="13"/>
    </row>
    <row r="137" spans="1:14">
      <c r="B137" t="s">
        <v>59</v>
      </c>
      <c r="E137" s="13"/>
      <c r="F137" s="21">
        <v>-8378</v>
      </c>
      <c r="G137" s="21">
        <v>-12915</v>
      </c>
      <c r="H137" s="21">
        <v>-18182</v>
      </c>
      <c r="I137" s="13"/>
      <c r="J137" s="13"/>
      <c r="K137" s="13"/>
      <c r="L137" s="13"/>
      <c r="M137" s="13"/>
      <c r="N137" s="13"/>
    </row>
    <row r="138" spans="1:14">
      <c r="B138" s="4" t="s">
        <v>60</v>
      </c>
      <c r="C138" s="4"/>
      <c r="D138" s="4"/>
      <c r="E138" s="25"/>
      <c r="F138" s="26">
        <f>SUM(F131:F137)</f>
        <v>30989</v>
      </c>
      <c r="G138" s="26">
        <f>SUM(G131:G137)</f>
        <v>30018</v>
      </c>
      <c r="H138" s="26">
        <f>SUM(H131:H137)</f>
        <v>27068</v>
      </c>
      <c r="I138" s="13"/>
      <c r="J138" s="13"/>
      <c r="K138" s="13"/>
      <c r="L138" s="13"/>
      <c r="M138" s="13"/>
      <c r="N138" s="13"/>
    </row>
    <row r="139" spans="1:14">
      <c r="E139" s="13"/>
      <c r="F139" s="22"/>
      <c r="G139" s="22"/>
      <c r="H139" s="22"/>
      <c r="I139" s="13"/>
      <c r="J139" s="13"/>
      <c r="K139" s="13"/>
      <c r="L139" s="13"/>
      <c r="M139" s="13"/>
      <c r="N139" s="13"/>
    </row>
    <row r="140" spans="1:14">
      <c r="E140" s="13"/>
      <c r="F140" s="22"/>
      <c r="G140" s="22"/>
      <c r="H140" s="22"/>
      <c r="I140" s="13"/>
      <c r="J140" s="13"/>
      <c r="K140" s="13"/>
      <c r="L140" s="13"/>
      <c r="M140" s="13"/>
      <c r="N140" s="13"/>
    </row>
    <row r="141" spans="1:14">
      <c r="B141" t="s">
        <v>61</v>
      </c>
      <c r="E141" s="13"/>
      <c r="F141" s="22">
        <v>699</v>
      </c>
      <c r="G141" s="22">
        <v>651</v>
      </c>
      <c r="H141" s="22">
        <v>618</v>
      </c>
      <c r="I141" s="13"/>
      <c r="J141" s="13"/>
      <c r="K141" s="13"/>
      <c r="L141" s="13"/>
      <c r="M141" s="13"/>
      <c r="N141" s="13"/>
    </row>
    <row r="142" spans="1:14">
      <c r="A142" s="1"/>
      <c r="B142" s="1" t="s">
        <v>62</v>
      </c>
      <c r="C142" s="1"/>
      <c r="D142" s="1"/>
      <c r="E142" s="23"/>
      <c r="F142" s="24">
        <f>F138+F141</f>
        <v>31688</v>
      </c>
      <c r="G142" s="24">
        <f>G138+G141</f>
        <v>30669</v>
      </c>
      <c r="H142" s="24">
        <v>27686</v>
      </c>
      <c r="I142" s="13"/>
      <c r="J142" s="13"/>
      <c r="K142" s="13"/>
      <c r="L142" s="13"/>
      <c r="M142" s="13"/>
      <c r="N142" s="13"/>
    </row>
    <row r="143" spans="1:14">
      <c r="A143" s="1"/>
      <c r="B143" s="63" t="s">
        <v>63</v>
      </c>
      <c r="C143" s="63"/>
      <c r="D143" s="63"/>
      <c r="E143" s="64"/>
      <c r="F143" s="65">
        <f>F129+F142</f>
        <v>83869</v>
      </c>
      <c r="G143" s="65">
        <f>G129+G142</f>
        <v>90890</v>
      </c>
      <c r="H143" s="65">
        <f>H129+H142</f>
        <v>77176</v>
      </c>
      <c r="I143" s="13"/>
      <c r="J143" s="13"/>
      <c r="K143" s="13"/>
      <c r="L143" s="13"/>
      <c r="M143" s="13"/>
      <c r="N143" s="13"/>
    </row>
    <row r="144" spans="1:14">
      <c r="A144" s="1"/>
      <c r="B144" s="1"/>
      <c r="C144" s="1"/>
      <c r="D144" s="1"/>
      <c r="E144" s="23"/>
      <c r="F144" s="23"/>
      <c r="G144" s="24"/>
      <c r="H144" s="24"/>
      <c r="I144" s="13"/>
      <c r="J144" s="13"/>
      <c r="K144" s="13"/>
      <c r="L144" s="13"/>
      <c r="M144" s="13"/>
      <c r="N144" s="13"/>
    </row>
    <row r="145" spans="1:17">
      <c r="A145" s="1"/>
      <c r="B145" s="3" t="s">
        <v>84</v>
      </c>
      <c r="C145" s="3"/>
      <c r="D145" s="1"/>
      <c r="E145" s="23"/>
      <c r="F145" s="24">
        <f>F143-F117</f>
        <v>0</v>
      </c>
      <c r="G145" s="24">
        <f>G143-G117</f>
        <v>0</v>
      </c>
      <c r="H145" s="24">
        <f>H117-H143</f>
        <v>0</v>
      </c>
      <c r="I145" s="13"/>
      <c r="J145" s="13"/>
      <c r="K145" s="13"/>
      <c r="L145" s="13"/>
      <c r="M145" s="13"/>
      <c r="N145" s="13"/>
    </row>
    <row r="146" spans="1:17">
      <c r="A146" s="1"/>
      <c r="B146" s="1"/>
      <c r="C146" s="1"/>
      <c r="D146" s="1"/>
      <c r="E146" s="23"/>
      <c r="F146" s="23"/>
      <c r="G146" s="24"/>
      <c r="H146" s="24"/>
      <c r="I146" s="13"/>
      <c r="J146" s="13"/>
      <c r="K146" s="13"/>
      <c r="L146" s="13"/>
      <c r="M146" s="13"/>
      <c r="N146" s="13"/>
    </row>
    <row r="147" spans="1:17">
      <c r="E147" s="13"/>
      <c r="F147" s="13"/>
      <c r="G147" s="22"/>
      <c r="H147" s="22"/>
      <c r="I147" s="13"/>
      <c r="J147" s="13"/>
      <c r="K147" s="13"/>
      <c r="L147" s="13"/>
      <c r="M147" s="13"/>
      <c r="N147" s="13"/>
    </row>
    <row r="148" spans="1:17" ht="21">
      <c r="B148" s="39" t="s">
        <v>70</v>
      </c>
      <c r="C148" s="39"/>
      <c r="D148" s="40"/>
      <c r="E148" s="41"/>
      <c r="F148" s="42"/>
      <c r="G148" s="42"/>
      <c r="H148" s="42"/>
      <c r="I148" s="57"/>
      <c r="J148" s="57"/>
      <c r="K148" s="57"/>
      <c r="L148" s="57"/>
      <c r="M148" s="57"/>
      <c r="N148" s="57"/>
      <c r="O148" s="56"/>
      <c r="P148" s="56"/>
      <c r="Q148" s="56"/>
    </row>
    <row r="149" spans="1:17">
      <c r="E149" s="13"/>
      <c r="F149" s="20">
        <v>44926</v>
      </c>
      <c r="G149" s="20">
        <f>EOMONTH(F149,12)</f>
        <v>45291</v>
      </c>
      <c r="H149" s="20">
        <f>EOMONTH(G149,12)</f>
        <v>45657</v>
      </c>
      <c r="I149" s="57"/>
      <c r="J149" s="57"/>
      <c r="K149" s="57"/>
      <c r="L149" s="57"/>
      <c r="M149" s="57"/>
      <c r="N149" s="57"/>
      <c r="O149" s="56"/>
      <c r="P149" s="56"/>
      <c r="Q149" s="56"/>
    </row>
    <row r="150" spans="1:17">
      <c r="B150" s="1" t="s">
        <v>85</v>
      </c>
      <c r="C150" s="1"/>
      <c r="E150" s="13"/>
      <c r="F150" s="29"/>
      <c r="G150" s="29"/>
      <c r="H150" s="29"/>
      <c r="I150" s="57"/>
      <c r="J150" s="57"/>
      <c r="K150" s="57"/>
      <c r="L150" s="57"/>
      <c r="M150" s="57"/>
      <c r="N150" s="57"/>
      <c r="O150" s="56"/>
      <c r="P150" s="56"/>
      <c r="Q150" s="56"/>
    </row>
    <row r="151" spans="1:17">
      <c r="B151" t="s">
        <v>68</v>
      </c>
      <c r="E151" s="13"/>
      <c r="F151" s="22">
        <f>F82</f>
        <v>3021</v>
      </c>
      <c r="G151" s="22">
        <f>G82</f>
        <v>3129</v>
      </c>
      <c r="H151" s="22">
        <f>H82</f>
        <v>3211</v>
      </c>
      <c r="I151" s="57"/>
      <c r="J151" s="57"/>
      <c r="K151" s="57"/>
      <c r="L151" s="57"/>
      <c r="M151" s="57"/>
      <c r="N151" s="57"/>
      <c r="O151" s="56"/>
      <c r="P151" s="56"/>
      <c r="Q151" s="56"/>
    </row>
    <row r="152" spans="1:17">
      <c r="E152" s="13"/>
      <c r="F152" s="13"/>
      <c r="G152" s="13"/>
      <c r="H152" s="22"/>
      <c r="I152" s="57"/>
      <c r="J152" s="57"/>
      <c r="K152" s="57"/>
      <c r="L152" s="57"/>
      <c r="M152" s="57"/>
      <c r="N152" s="57"/>
      <c r="O152" s="56"/>
      <c r="P152" s="56"/>
      <c r="Q152" s="56"/>
    </row>
    <row r="153" spans="1:17">
      <c r="B153" t="s">
        <v>69</v>
      </c>
      <c r="E153" s="13"/>
      <c r="F153" s="13">
        <v>1320</v>
      </c>
      <c r="G153" s="13">
        <v>1479</v>
      </c>
      <c r="H153" s="21">
        <v>1672</v>
      </c>
      <c r="I153" s="57"/>
      <c r="J153" s="66"/>
      <c r="K153" s="57"/>
      <c r="L153" s="57"/>
      <c r="M153" s="57"/>
      <c r="N153" s="57"/>
      <c r="O153" s="56"/>
      <c r="P153" s="56"/>
      <c r="Q153" s="56"/>
    </row>
    <row r="154" spans="1:17">
      <c r="B154" t="s">
        <v>71</v>
      </c>
      <c r="E154" s="13"/>
      <c r="F154" s="13">
        <v>1849</v>
      </c>
      <c r="G154" s="13">
        <v>1642</v>
      </c>
      <c r="H154" s="21">
        <v>1423</v>
      </c>
      <c r="I154" s="13"/>
      <c r="J154" s="13"/>
      <c r="K154" s="13"/>
      <c r="L154" s="13"/>
      <c r="M154" s="13"/>
      <c r="N154" s="13"/>
    </row>
    <row r="155" spans="1:17">
      <c r="B155" t="s">
        <v>72</v>
      </c>
      <c r="E155" s="13"/>
      <c r="F155" s="13">
        <v>43</v>
      </c>
      <c r="G155" s="13">
        <v>41</v>
      </c>
      <c r="H155" s="21">
        <v>43</v>
      </c>
      <c r="I155" s="13"/>
      <c r="J155" s="13"/>
      <c r="K155" s="13"/>
      <c r="L155" s="13"/>
      <c r="M155" s="13"/>
      <c r="N155" s="13"/>
    </row>
    <row r="156" spans="1:17">
      <c r="B156" t="s">
        <v>73</v>
      </c>
      <c r="E156" s="13"/>
      <c r="F156" s="13">
        <v>323</v>
      </c>
      <c r="G156" s="13">
        <v>342</v>
      </c>
      <c r="H156" s="21">
        <v>367</v>
      </c>
      <c r="I156" s="13"/>
      <c r="J156" s="13"/>
      <c r="K156" s="13"/>
      <c r="L156" s="13"/>
      <c r="M156" s="13"/>
      <c r="N156" s="13"/>
    </row>
    <row r="157" spans="1:17">
      <c r="B157" t="s">
        <v>49</v>
      </c>
      <c r="E157" s="13"/>
      <c r="F157" s="13">
        <v>-558</v>
      </c>
      <c r="G157" s="13">
        <v>-511</v>
      </c>
      <c r="H157" s="21">
        <v>-662</v>
      </c>
      <c r="I157" s="13"/>
      <c r="J157" s="13"/>
      <c r="K157" s="13"/>
      <c r="L157" s="13"/>
      <c r="M157" s="13"/>
      <c r="N157" s="13"/>
    </row>
    <row r="158" spans="1:17">
      <c r="B158" t="s">
        <v>74</v>
      </c>
      <c r="E158" s="13"/>
      <c r="F158" s="13">
        <v>-54</v>
      </c>
      <c r="G158" s="13">
        <v>-167</v>
      </c>
      <c r="H158" s="21" t="s">
        <v>18</v>
      </c>
      <c r="I158" s="13"/>
      <c r="J158" s="13"/>
      <c r="K158" s="13"/>
      <c r="L158" s="13"/>
      <c r="M158" s="13"/>
      <c r="N158" s="13"/>
    </row>
    <row r="159" spans="1:17">
      <c r="B159" t="s">
        <v>75</v>
      </c>
      <c r="E159" s="13"/>
      <c r="F159" s="13">
        <v>-220</v>
      </c>
      <c r="G159" s="13">
        <v>15</v>
      </c>
      <c r="H159" s="21">
        <v>-685</v>
      </c>
      <c r="I159" s="13"/>
      <c r="J159" s="13"/>
      <c r="K159" s="13"/>
      <c r="L159" s="13"/>
      <c r="M159" s="13"/>
      <c r="N159" s="13"/>
    </row>
    <row r="160" spans="1:17">
      <c r="B160" t="s">
        <v>76</v>
      </c>
      <c r="E160" s="13"/>
      <c r="F160" s="13">
        <v>73</v>
      </c>
      <c r="G160" s="13">
        <v>55</v>
      </c>
      <c r="H160" s="21">
        <v>39</v>
      </c>
      <c r="I160" s="13"/>
      <c r="J160" s="13"/>
      <c r="K160" s="13"/>
      <c r="L160" s="13"/>
      <c r="M160" s="13"/>
      <c r="N160" s="13"/>
    </row>
    <row r="161" spans="2:14">
      <c r="B161" t="s">
        <v>77</v>
      </c>
      <c r="E161" s="13"/>
      <c r="F161" s="13" t="s">
        <v>18</v>
      </c>
      <c r="G161" s="13" t="s">
        <v>18</v>
      </c>
      <c r="H161" s="21">
        <v>147</v>
      </c>
      <c r="I161" s="13"/>
      <c r="J161" s="13"/>
      <c r="K161" s="13"/>
      <c r="L161" s="13"/>
      <c r="M161" s="13"/>
      <c r="N161" s="13"/>
    </row>
    <row r="162" spans="2:14">
      <c r="B162" t="s">
        <v>78</v>
      </c>
      <c r="E162" s="13"/>
      <c r="F162" s="13" t="s">
        <v>18</v>
      </c>
      <c r="G162" s="13">
        <v>76</v>
      </c>
      <c r="H162" s="21">
        <v>92</v>
      </c>
      <c r="I162" s="13"/>
      <c r="J162" s="13"/>
      <c r="K162" s="13"/>
      <c r="L162" s="13"/>
      <c r="M162" s="13"/>
      <c r="N162" s="13"/>
    </row>
    <row r="163" spans="2:14">
      <c r="B163" t="s">
        <v>79</v>
      </c>
      <c r="E163" s="13"/>
      <c r="F163" s="13">
        <v>4</v>
      </c>
      <c r="G163" s="13">
        <v>-27</v>
      </c>
      <c r="H163" s="21">
        <v>-17</v>
      </c>
      <c r="I163" s="13"/>
      <c r="J163" s="13"/>
      <c r="K163" s="13"/>
      <c r="L163" s="13"/>
      <c r="M163" s="13"/>
      <c r="N163" s="13"/>
    </row>
    <row r="164" spans="2:14">
      <c r="E164" s="13"/>
      <c r="F164" s="13"/>
      <c r="G164" s="13"/>
      <c r="H164" s="13"/>
      <c r="I164" s="13"/>
      <c r="J164" s="13"/>
      <c r="K164" s="13"/>
      <c r="L164" s="13"/>
      <c r="M164" s="13"/>
      <c r="N164" s="13"/>
    </row>
    <row r="165" spans="2:14">
      <c r="B165" s="3" t="s">
        <v>142</v>
      </c>
      <c r="C165" s="3"/>
      <c r="E165" s="13"/>
      <c r="F165" s="13"/>
      <c r="G165" s="13"/>
      <c r="H165" s="13"/>
      <c r="I165" s="13"/>
      <c r="J165" s="13"/>
      <c r="K165" s="13"/>
      <c r="L165" s="13"/>
      <c r="M165" s="13"/>
      <c r="N165" s="13"/>
    </row>
    <row r="166" spans="2:14">
      <c r="B166" t="s">
        <v>83</v>
      </c>
      <c r="E166" s="13"/>
      <c r="F166" s="22">
        <f>E103-F103</f>
        <v>-3585</v>
      </c>
      <c r="G166" s="22">
        <f>F103-G103</f>
        <v>3</v>
      </c>
      <c r="H166" s="22">
        <f>G103-H103</f>
        <v>-143</v>
      </c>
      <c r="I166" s="13"/>
      <c r="J166" s="13"/>
      <c r="K166" s="13"/>
      <c r="L166" s="13"/>
      <c r="M166" s="13"/>
      <c r="N166" s="13"/>
    </row>
    <row r="167" spans="2:14">
      <c r="B167" t="s">
        <v>32</v>
      </c>
      <c r="E167" s="13"/>
      <c r="F167" s="22">
        <f>E104-F104</f>
        <v>-431</v>
      </c>
      <c r="G167" s="22">
        <f>F104-G104</f>
        <v>8</v>
      </c>
      <c r="H167" s="22">
        <f>G104-H104</f>
        <v>19</v>
      </c>
      <c r="I167" s="13"/>
      <c r="J167" s="13"/>
      <c r="K167" s="13"/>
      <c r="L167" s="13"/>
      <c r="M167" s="13"/>
      <c r="N167" s="13"/>
    </row>
    <row r="168" spans="2:14">
      <c r="B168" t="s">
        <v>80</v>
      </c>
      <c r="E168" s="13"/>
      <c r="F168" s="22">
        <f>E114-F114</f>
        <v>-905</v>
      </c>
      <c r="G168" s="22">
        <f>F114-G114</f>
        <v>-63</v>
      </c>
      <c r="H168" s="22">
        <f>G114-H114</f>
        <v>-28</v>
      </c>
      <c r="I168" s="13"/>
      <c r="J168" s="13"/>
      <c r="K168" s="13"/>
      <c r="L168" s="13"/>
      <c r="M168" s="13"/>
      <c r="N168" s="13"/>
    </row>
    <row r="169" spans="2:14">
      <c r="B169" t="s">
        <v>81</v>
      </c>
      <c r="E169" s="13"/>
      <c r="F169" s="22">
        <f>F119-E119</f>
        <v>3883</v>
      </c>
      <c r="G169" s="22">
        <f>G119-F119</f>
        <v>472</v>
      </c>
      <c r="H169" s="22">
        <f>H119-G119</f>
        <v>444</v>
      </c>
      <c r="I169" s="13"/>
      <c r="J169" s="13"/>
      <c r="K169" s="13"/>
      <c r="L169" s="13"/>
      <c r="M169" s="13"/>
      <c r="N169" s="13"/>
    </row>
    <row r="170" spans="2:14">
      <c r="B170" t="s">
        <v>45</v>
      </c>
      <c r="E170" s="13"/>
      <c r="F170" s="22">
        <f>F121-E121</f>
        <v>625</v>
      </c>
      <c r="G170" s="22">
        <f>G121-F121</f>
        <v>136</v>
      </c>
      <c r="H170" s="22">
        <f>H121-G121</f>
        <v>58</v>
      </c>
      <c r="I170" s="13"/>
      <c r="J170" s="13"/>
      <c r="K170" s="13"/>
      <c r="L170" s="13"/>
      <c r="M170" s="13"/>
      <c r="N170" s="13"/>
    </row>
    <row r="171" spans="2:14">
      <c r="B171" s="58" t="s">
        <v>82</v>
      </c>
      <c r="C171" s="58"/>
      <c r="D171" s="59"/>
      <c r="E171" s="60"/>
      <c r="F171" s="61">
        <f>SUM(F151:F163,F174:F178)</f>
        <v>5057</v>
      </c>
      <c r="G171" s="61">
        <f>SUM(G151:G163,G174:G178)</f>
        <v>5162</v>
      </c>
      <c r="H171" s="61">
        <f>SUM(H151:H170)</f>
        <v>5980</v>
      </c>
      <c r="I171" s="13"/>
      <c r="J171" s="13"/>
      <c r="K171" s="13"/>
      <c r="L171" s="13"/>
      <c r="M171" s="13"/>
      <c r="N171" s="13"/>
    </row>
    <row r="172" spans="2:14">
      <c r="E172" s="13"/>
      <c r="F172" s="13"/>
      <c r="G172" s="13"/>
      <c r="H172" s="13"/>
      <c r="I172" s="13"/>
      <c r="J172" s="13"/>
      <c r="K172" s="13"/>
      <c r="L172" s="13"/>
      <c r="M172" s="13"/>
      <c r="N172" s="13"/>
    </row>
    <row r="173" spans="2:14">
      <c r="B173" s="3" t="s">
        <v>143</v>
      </c>
      <c r="C173" s="3"/>
      <c r="E173" s="13"/>
      <c r="F173" s="13"/>
      <c r="G173" s="13"/>
      <c r="H173" s="13"/>
      <c r="I173" s="13"/>
      <c r="J173" s="13"/>
      <c r="K173" s="13"/>
      <c r="L173" s="13"/>
      <c r="M173" s="13"/>
      <c r="N173" s="13"/>
    </row>
    <row r="174" spans="2:14">
      <c r="B174" t="s">
        <v>83</v>
      </c>
      <c r="E174" s="13"/>
      <c r="F174" s="22">
        <v>-770</v>
      </c>
      <c r="G174" s="22">
        <v>23</v>
      </c>
      <c r="H174" s="22">
        <v>-169</v>
      </c>
      <c r="I174" s="13"/>
      <c r="J174" s="22"/>
      <c r="K174" s="13"/>
      <c r="L174" s="13"/>
      <c r="M174" s="13"/>
      <c r="N174" s="13"/>
    </row>
    <row r="175" spans="2:14">
      <c r="B175" t="s">
        <v>32</v>
      </c>
      <c r="E175" s="13"/>
      <c r="F175" s="22">
        <v>-253</v>
      </c>
      <c r="G175" s="22">
        <v>-790</v>
      </c>
      <c r="H175" s="22">
        <v>-398</v>
      </c>
      <c r="I175" s="13"/>
      <c r="J175" s="22"/>
      <c r="K175" s="13"/>
      <c r="L175" s="13"/>
      <c r="M175" s="13"/>
      <c r="N175" s="13"/>
    </row>
    <row r="176" spans="2:14">
      <c r="B176" t="s">
        <v>80</v>
      </c>
      <c r="E176" s="13"/>
      <c r="F176" s="22">
        <v>-290</v>
      </c>
      <c r="G176" s="22">
        <v>-246</v>
      </c>
      <c r="H176" s="22">
        <v>-267</v>
      </c>
      <c r="I176" s="13"/>
      <c r="J176" s="22"/>
      <c r="K176" s="13"/>
      <c r="L176" s="13"/>
      <c r="M176" s="13"/>
      <c r="N176" s="13"/>
    </row>
    <row r="177" spans="2:14">
      <c r="B177" t="s">
        <v>81</v>
      </c>
      <c r="E177" s="13"/>
      <c r="F177" s="22">
        <v>511</v>
      </c>
      <c r="G177" s="22">
        <v>-54</v>
      </c>
      <c r="H177" s="22">
        <v>426</v>
      </c>
      <c r="I177" s="13"/>
      <c r="J177" s="22"/>
      <c r="K177" s="13"/>
      <c r="L177" s="13"/>
      <c r="M177" s="13"/>
      <c r="N177" s="13"/>
    </row>
    <row r="178" spans="2:14">
      <c r="B178" t="s">
        <v>45</v>
      </c>
      <c r="E178" s="13"/>
      <c r="F178" s="22">
        <v>58</v>
      </c>
      <c r="G178" s="22">
        <v>155</v>
      </c>
      <c r="H178" s="22">
        <v>70</v>
      </c>
      <c r="I178" s="13"/>
      <c r="J178" s="22"/>
      <c r="K178" s="13"/>
      <c r="L178" s="13"/>
      <c r="M178" s="13"/>
      <c r="N178" s="13"/>
    </row>
    <row r="179" spans="2:14">
      <c r="B179" s="1"/>
      <c r="C179" s="1"/>
      <c r="E179" s="13"/>
      <c r="F179" s="13"/>
      <c r="G179" s="13"/>
      <c r="H179" s="13"/>
      <c r="I179" s="13"/>
      <c r="J179" s="13"/>
      <c r="K179" s="13"/>
      <c r="L179" s="13"/>
      <c r="M179" s="13"/>
      <c r="N179" s="13"/>
    </row>
    <row r="180" spans="2:14">
      <c r="B180" s="1" t="s">
        <v>87</v>
      </c>
      <c r="C180" s="1"/>
      <c r="E180" s="13"/>
      <c r="F180" s="13"/>
      <c r="G180" s="13"/>
      <c r="H180" s="13"/>
      <c r="I180" s="13"/>
      <c r="J180" s="13"/>
      <c r="K180" s="13"/>
      <c r="L180" s="13"/>
      <c r="M180" s="13"/>
      <c r="N180" s="13"/>
    </row>
    <row r="181" spans="2:14">
      <c r="B181" s="56" t="s">
        <v>88</v>
      </c>
      <c r="C181" s="56"/>
      <c r="D181" s="56"/>
      <c r="E181" s="57"/>
      <c r="F181" s="57">
        <v>-1479</v>
      </c>
      <c r="G181" s="57">
        <v>-1388</v>
      </c>
      <c r="H181" s="57">
        <v>-1569</v>
      </c>
      <c r="I181" s="13"/>
      <c r="J181" s="13"/>
      <c r="K181" s="13"/>
      <c r="L181" s="13"/>
      <c r="M181" s="13"/>
      <c r="N181" s="13"/>
    </row>
    <row r="182" spans="2:14">
      <c r="B182" t="s">
        <v>89</v>
      </c>
      <c r="E182" s="13"/>
      <c r="F182" s="13">
        <v>246</v>
      </c>
      <c r="G182" s="13">
        <v>234</v>
      </c>
      <c r="H182" s="13" t="s">
        <v>18</v>
      </c>
      <c r="I182" s="13"/>
      <c r="J182" s="13"/>
      <c r="K182" s="13"/>
      <c r="L182" s="13"/>
      <c r="M182" s="13"/>
      <c r="N182" s="13"/>
    </row>
    <row r="183" spans="2:14">
      <c r="B183" t="s">
        <v>90</v>
      </c>
      <c r="E183" s="13"/>
      <c r="F183" s="13" t="s">
        <v>18</v>
      </c>
      <c r="G183" s="13" t="s">
        <v>18</v>
      </c>
      <c r="H183" s="13">
        <v>-801</v>
      </c>
      <c r="I183" s="13"/>
      <c r="J183" s="13"/>
      <c r="K183" s="13"/>
      <c r="L183" s="13"/>
      <c r="M183" s="13"/>
      <c r="N183" s="13"/>
    </row>
    <row r="184" spans="2:14">
      <c r="B184" t="s">
        <v>91</v>
      </c>
      <c r="E184" s="13"/>
      <c r="F184" s="13">
        <v>-988</v>
      </c>
      <c r="G184" s="13">
        <v>-13</v>
      </c>
      <c r="H184" s="13" t="s">
        <v>18</v>
      </c>
      <c r="I184" s="13"/>
      <c r="J184" s="13"/>
      <c r="K184" s="13"/>
      <c r="L184" s="13"/>
      <c r="M184" s="13"/>
      <c r="N184" s="13"/>
    </row>
    <row r="185" spans="2:14">
      <c r="B185" t="s">
        <v>76</v>
      </c>
      <c r="E185" s="13"/>
      <c r="F185" s="13">
        <v>138</v>
      </c>
      <c r="G185" s="13">
        <v>136</v>
      </c>
      <c r="H185" s="13">
        <v>60</v>
      </c>
      <c r="I185" s="13"/>
      <c r="J185" s="13"/>
      <c r="K185" s="13"/>
      <c r="L185" s="13"/>
      <c r="M185" s="13"/>
      <c r="N185" s="13"/>
    </row>
    <row r="186" spans="2:14">
      <c r="B186" t="s">
        <v>92</v>
      </c>
      <c r="E186" s="13"/>
      <c r="F186" s="13">
        <v>-52</v>
      </c>
      <c r="G186" s="13">
        <v>-39</v>
      </c>
      <c r="H186" s="13">
        <v>-155</v>
      </c>
      <c r="I186" s="13"/>
      <c r="J186" s="13"/>
      <c r="K186" s="13"/>
      <c r="L186" s="13"/>
      <c r="M186" s="13"/>
      <c r="N186" s="13"/>
    </row>
    <row r="187" spans="2:14">
      <c r="B187" t="s">
        <v>93</v>
      </c>
      <c r="E187" s="13"/>
      <c r="F187" s="13">
        <v>23</v>
      </c>
      <c r="G187" s="13">
        <v>5</v>
      </c>
      <c r="H187" s="13">
        <v>61</v>
      </c>
      <c r="I187" s="13"/>
      <c r="J187" s="13"/>
      <c r="K187" s="13"/>
      <c r="L187" s="13"/>
      <c r="M187" s="13"/>
      <c r="N187" s="13"/>
    </row>
    <row r="188" spans="2:14">
      <c r="B188" t="s">
        <v>94</v>
      </c>
      <c r="E188" s="13"/>
      <c r="F188" s="13" t="s">
        <v>18</v>
      </c>
      <c r="G188" s="13">
        <v>-3</v>
      </c>
      <c r="H188" s="13" t="s">
        <v>18</v>
      </c>
      <c r="I188" s="13"/>
      <c r="J188" s="13"/>
      <c r="K188" s="13"/>
      <c r="L188" s="13"/>
      <c r="M188" s="13"/>
      <c r="N188" s="13"/>
    </row>
    <row r="189" spans="2:14">
      <c r="B189" s="58" t="s">
        <v>95</v>
      </c>
      <c r="C189" s="58"/>
      <c r="D189" s="59"/>
      <c r="E189" s="60"/>
      <c r="F189" s="62">
        <f>SUM(F181:F188)</f>
        <v>-2112</v>
      </c>
      <c r="G189" s="62">
        <f>SUM(G181:G188)</f>
        <v>-1068</v>
      </c>
      <c r="H189" s="62">
        <f>SUM(H181:H188)</f>
        <v>-2404</v>
      </c>
      <c r="I189" s="13"/>
      <c r="J189" s="13"/>
      <c r="K189" s="13"/>
      <c r="L189" s="13"/>
      <c r="M189" s="13"/>
      <c r="N189" s="13"/>
    </row>
    <row r="190" spans="2:14">
      <c r="E190" s="13"/>
      <c r="F190" s="13"/>
      <c r="G190" s="13"/>
      <c r="H190" s="13"/>
      <c r="I190" s="13"/>
      <c r="J190" s="13"/>
      <c r="K190" s="13"/>
      <c r="L190" s="13"/>
      <c r="M190" s="13"/>
      <c r="N190" s="13"/>
    </row>
    <row r="191" spans="2:14">
      <c r="B191" s="1" t="s">
        <v>86</v>
      </c>
      <c r="C191" s="1"/>
      <c r="E191" s="13"/>
      <c r="F191" s="13"/>
      <c r="G191" s="13"/>
      <c r="H191" s="13"/>
      <c r="I191" s="13"/>
      <c r="J191" s="13"/>
      <c r="K191" s="13"/>
      <c r="L191" s="13"/>
      <c r="M191" s="13"/>
      <c r="N191" s="13"/>
    </row>
    <row r="192" spans="2:14">
      <c r="B192" t="s">
        <v>96</v>
      </c>
      <c r="E192" s="13"/>
      <c r="F192" s="13">
        <v>1624</v>
      </c>
      <c r="G192" s="13">
        <v>5567</v>
      </c>
      <c r="H192" s="13">
        <v>6783</v>
      </c>
      <c r="I192" s="13"/>
      <c r="J192" s="13"/>
      <c r="K192" s="13"/>
      <c r="L192" s="13"/>
      <c r="M192" s="13"/>
      <c r="N192" s="13"/>
    </row>
    <row r="193" spans="1:15">
      <c r="B193" t="s">
        <v>97</v>
      </c>
      <c r="E193" s="13"/>
      <c r="F193" s="13">
        <v>-3315</v>
      </c>
      <c r="G193" s="13">
        <v>-3015</v>
      </c>
      <c r="H193" s="13">
        <v>-5396</v>
      </c>
      <c r="I193" s="13"/>
      <c r="J193" s="13"/>
      <c r="K193" s="13"/>
      <c r="L193" s="13"/>
      <c r="M193" s="13"/>
      <c r="N193" s="13"/>
    </row>
    <row r="194" spans="1:15">
      <c r="B194" t="s">
        <v>98</v>
      </c>
      <c r="E194" s="13"/>
      <c r="F194" s="13">
        <v>1837</v>
      </c>
      <c r="G194" s="13">
        <v>-1456</v>
      </c>
      <c r="H194" s="13">
        <v>278</v>
      </c>
      <c r="I194" s="13"/>
      <c r="J194" s="13"/>
      <c r="K194" s="13"/>
      <c r="L194" s="13"/>
      <c r="M194" s="13"/>
      <c r="N194" s="13"/>
    </row>
    <row r="195" spans="1:15">
      <c r="B195" t="s">
        <v>99</v>
      </c>
      <c r="E195" s="13"/>
      <c r="F195" s="13">
        <v>-10</v>
      </c>
      <c r="G195" s="13">
        <v>-38</v>
      </c>
      <c r="H195" s="13">
        <v>-28</v>
      </c>
      <c r="I195" s="13"/>
      <c r="J195" s="13"/>
      <c r="K195" s="13"/>
      <c r="L195" s="13"/>
      <c r="M195" s="13"/>
      <c r="N195" s="13"/>
    </row>
    <row r="196" spans="1:15">
      <c r="B196" t="s">
        <v>100</v>
      </c>
      <c r="E196" s="13"/>
      <c r="F196" s="13">
        <v>149</v>
      </c>
      <c r="G196" s="13">
        <v>101</v>
      </c>
      <c r="H196" s="13">
        <v>97</v>
      </c>
      <c r="I196" s="13"/>
      <c r="J196" s="13"/>
      <c r="K196" s="13"/>
      <c r="L196" s="13"/>
      <c r="M196" s="13"/>
      <c r="N196" s="13"/>
    </row>
    <row r="197" spans="1:15">
      <c r="B197" s="56" t="s">
        <v>101</v>
      </c>
      <c r="C197" s="56"/>
      <c r="D197" s="56"/>
      <c r="E197" s="57"/>
      <c r="F197" s="57">
        <v>-2677</v>
      </c>
      <c r="G197" s="57">
        <v>-4827</v>
      </c>
      <c r="H197" s="57">
        <v>-5837</v>
      </c>
      <c r="I197" s="57">
        <v>-6400</v>
      </c>
      <c r="J197" s="13"/>
      <c r="K197" s="13"/>
      <c r="L197" s="13"/>
      <c r="M197" s="13"/>
      <c r="N197" s="13"/>
    </row>
    <row r="198" spans="1:15">
      <c r="B198" t="s">
        <v>102</v>
      </c>
      <c r="E198" s="13"/>
      <c r="F198" s="13">
        <v>-78</v>
      </c>
      <c r="G198" s="13">
        <v>-527</v>
      </c>
      <c r="H198" s="13" t="s">
        <v>18</v>
      </c>
      <c r="I198" s="13"/>
      <c r="J198" s="13"/>
      <c r="K198" s="13"/>
      <c r="L198" s="13"/>
      <c r="M198" s="13"/>
      <c r="N198" s="13"/>
    </row>
    <row r="199" spans="1:15">
      <c r="B199" t="s">
        <v>103</v>
      </c>
      <c r="E199" s="13"/>
      <c r="F199" s="13">
        <v>-42</v>
      </c>
      <c r="G199" s="13">
        <v>-34</v>
      </c>
      <c r="H199" s="13">
        <v>-55</v>
      </c>
      <c r="I199" s="13"/>
      <c r="J199" s="13"/>
      <c r="K199" s="13"/>
      <c r="L199" s="13"/>
      <c r="M199" s="13"/>
      <c r="N199" s="13"/>
    </row>
    <row r="200" spans="1:15">
      <c r="B200" t="s">
        <v>104</v>
      </c>
      <c r="E200" s="13"/>
      <c r="F200" s="13"/>
      <c r="G200" s="13">
        <v>-56</v>
      </c>
      <c r="H200" s="13" t="s">
        <v>18</v>
      </c>
      <c r="I200" s="13"/>
      <c r="J200" s="13"/>
      <c r="K200" s="13"/>
      <c r="L200" s="13"/>
      <c r="M200" s="13"/>
      <c r="N200" s="13"/>
    </row>
    <row r="201" spans="1:15">
      <c r="B201" t="s">
        <v>105</v>
      </c>
      <c r="E201" s="13"/>
      <c r="F201" s="13">
        <v>-2</v>
      </c>
      <c r="G201" s="13">
        <v>-35</v>
      </c>
      <c r="H201" s="13">
        <v>-3</v>
      </c>
      <c r="I201" s="13"/>
      <c r="J201" s="13"/>
      <c r="K201" s="13"/>
      <c r="L201" s="13"/>
      <c r="M201" s="13"/>
      <c r="N201" s="13"/>
    </row>
    <row r="202" spans="1:15">
      <c r="B202" t="s">
        <v>106</v>
      </c>
      <c r="E202" s="13"/>
      <c r="F202" s="13">
        <v>36</v>
      </c>
      <c r="G202" s="13">
        <v>-36</v>
      </c>
      <c r="H202" s="13">
        <v>-4</v>
      </c>
      <c r="I202" s="13"/>
      <c r="J202" s="13"/>
      <c r="K202" s="13"/>
      <c r="L202" s="13"/>
      <c r="M202" s="13"/>
      <c r="N202" s="13"/>
    </row>
    <row r="203" spans="1:15">
      <c r="B203" s="58" t="s">
        <v>107</v>
      </c>
      <c r="C203" s="58"/>
      <c r="D203" s="59"/>
      <c r="E203" s="60"/>
      <c r="F203" s="62">
        <f>SUM(F192:F202)</f>
        <v>-2478</v>
      </c>
      <c r="G203" s="62">
        <f>SUM(G192:G202)</f>
        <v>-4356</v>
      </c>
      <c r="H203" s="62">
        <f>SUM(H192:H202)</f>
        <v>-4165</v>
      </c>
      <c r="I203" s="13"/>
      <c r="J203" s="13"/>
      <c r="K203" s="13"/>
      <c r="L203" s="13"/>
      <c r="M203" s="13"/>
      <c r="N203" s="13"/>
    </row>
    <row r="204" spans="1:15">
      <c r="E204" s="13"/>
      <c r="F204" s="13"/>
      <c r="G204" s="13"/>
      <c r="H204" s="13"/>
      <c r="I204" s="13"/>
      <c r="J204" s="13"/>
      <c r="K204" s="13"/>
      <c r="L204" s="13"/>
      <c r="M204" s="13"/>
      <c r="N204" s="13"/>
    </row>
    <row r="205" spans="1:15">
      <c r="B205" t="s">
        <v>108</v>
      </c>
      <c r="E205" s="13"/>
      <c r="F205" s="13">
        <v>-41</v>
      </c>
      <c r="G205" s="13">
        <v>33</v>
      </c>
      <c r="H205" s="13">
        <v>-32</v>
      </c>
      <c r="I205" s="13"/>
      <c r="J205" s="13"/>
      <c r="K205" s="13"/>
      <c r="L205" s="13"/>
      <c r="M205" s="13"/>
      <c r="N205" s="13"/>
    </row>
    <row r="206" spans="1:15" s="1" customFormat="1">
      <c r="A206"/>
      <c r="B206" s="4" t="s">
        <v>109</v>
      </c>
      <c r="C206" s="4"/>
      <c r="D206" s="4"/>
      <c r="E206" s="25"/>
      <c r="F206" s="26">
        <f>SUM(F171,F189,F203,F205,)</f>
        <v>426</v>
      </c>
      <c r="G206" s="26">
        <f>SUM(G171,G189,G203,G205,)</f>
        <v>-229</v>
      </c>
      <c r="H206" s="26">
        <f>SUM(H171,H189,H203,H205,)</f>
        <v>-621</v>
      </c>
      <c r="I206" s="23"/>
      <c r="J206" s="23"/>
      <c r="K206" s="23"/>
      <c r="L206" s="23"/>
      <c r="M206" s="23"/>
      <c r="N206" s="23"/>
    </row>
    <row r="208" spans="1:15" ht="21">
      <c r="B208" s="39" t="s">
        <v>191</v>
      </c>
      <c r="C208" s="39"/>
      <c r="D208" s="40"/>
      <c r="E208" s="40"/>
      <c r="F208" s="40"/>
      <c r="G208" s="40"/>
      <c r="H208" s="40"/>
      <c r="I208" s="40"/>
      <c r="J208" s="40"/>
      <c r="K208" s="40"/>
      <c r="L208" s="40"/>
      <c r="M208" s="40"/>
      <c r="N208" s="40"/>
      <c r="O208" s="40"/>
    </row>
    <row r="209" spans="2:17" s="56" customFormat="1" ht="21">
      <c r="B209" s="82"/>
      <c r="C209" s="82"/>
    </row>
    <row r="210" spans="2:17">
      <c r="B210" s="80" t="s">
        <v>192</v>
      </c>
      <c r="C210" s="81"/>
    </row>
    <row r="211" spans="2:17">
      <c r="B211" t="s">
        <v>83</v>
      </c>
      <c r="F211" s="2" cm="1">
        <f t="array" ref="F211:F215">F166:F170</f>
        <v>-3585</v>
      </c>
      <c r="G211" s="2" cm="1">
        <f t="array" ref="G211:G215">G166:G170</f>
        <v>3</v>
      </c>
      <c r="H211" s="2" cm="1">
        <f t="array" ref="H211:H215">H166:H170</f>
        <v>-143</v>
      </c>
    </row>
    <row r="212" spans="2:17">
      <c r="B212" t="s">
        <v>32</v>
      </c>
      <c r="F212">
        <v>-431</v>
      </c>
      <c r="G212">
        <v>8</v>
      </c>
      <c r="H212">
        <v>19</v>
      </c>
    </row>
    <row r="213" spans="2:17">
      <c r="B213" t="s">
        <v>80</v>
      </c>
      <c r="F213">
        <v>-905</v>
      </c>
      <c r="G213">
        <v>-63</v>
      </c>
      <c r="H213">
        <v>-28</v>
      </c>
    </row>
    <row r="214" spans="2:17">
      <c r="B214" t="s">
        <v>81</v>
      </c>
      <c r="F214">
        <v>3883</v>
      </c>
      <c r="G214">
        <v>472</v>
      </c>
      <c r="H214">
        <v>444</v>
      </c>
    </row>
    <row r="215" spans="2:17">
      <c r="B215" t="s">
        <v>45</v>
      </c>
      <c r="F215">
        <v>625</v>
      </c>
      <c r="G215">
        <v>136</v>
      </c>
      <c r="H215">
        <v>58</v>
      </c>
    </row>
    <row r="216" spans="2:17">
      <c r="B216" s="83" t="s">
        <v>194</v>
      </c>
      <c r="C216" s="8"/>
      <c r="D216" s="8"/>
      <c r="E216" s="8"/>
      <c r="F216" s="48">
        <f>SUM(_xlfn.ANCHORARRAY(F211))</f>
        <v>-413</v>
      </c>
      <c r="G216" s="48">
        <f t="shared" ref="G216:H216" si="20">SUM(_xlfn.ANCHORARRAY(G211))</f>
        <v>556</v>
      </c>
      <c r="H216" s="48">
        <f t="shared" si="20"/>
        <v>350</v>
      </c>
    </row>
    <row r="217" spans="2:17">
      <c r="B217" t="s">
        <v>193</v>
      </c>
      <c r="F217" s="48">
        <f>SUM(F212)</f>
        <v>-431</v>
      </c>
      <c r="G217" s="2">
        <f>G216-F217</f>
        <v>987</v>
      </c>
      <c r="H217" s="2">
        <f>H216-G217</f>
        <v>-637</v>
      </c>
    </row>
    <row r="220" spans="2:17" ht="21">
      <c r="B220" s="39" t="s">
        <v>147</v>
      </c>
      <c r="C220" s="39"/>
      <c r="D220" s="40"/>
      <c r="E220" s="40"/>
      <c r="F220" s="40"/>
      <c r="G220" s="40"/>
      <c r="H220" s="40"/>
      <c r="I220" s="40"/>
      <c r="J220" s="40"/>
      <c r="K220" s="40"/>
      <c r="L220" s="40"/>
      <c r="M220" s="40"/>
      <c r="N220" s="40"/>
      <c r="O220" s="40"/>
      <c r="P220" s="40"/>
      <c r="Q220" s="40"/>
    </row>
    <row r="221" spans="2:17" ht="21">
      <c r="B221" s="34"/>
      <c r="C221" s="34"/>
    </row>
    <row r="222" spans="2:17">
      <c r="B222" s="36" t="s">
        <v>154</v>
      </c>
      <c r="C222" s="36"/>
      <c r="D222" s="35"/>
    </row>
    <row r="223" spans="2:17">
      <c r="B223" t="s">
        <v>150</v>
      </c>
      <c r="D223" s="33">
        <v>0.17</v>
      </c>
    </row>
    <row r="224" spans="2:17">
      <c r="B224" t="s">
        <v>119</v>
      </c>
      <c r="D224" s="31">
        <f>(H120+H125)/(H138+H125+H120)</f>
        <v>0.47853895353317405</v>
      </c>
    </row>
    <row r="225" spans="2:18">
      <c r="B225" t="s">
        <v>120</v>
      </c>
      <c r="D225" s="31">
        <f>H138/(H138+H125+H120)</f>
        <v>0.52146104646682589</v>
      </c>
    </row>
    <row r="226" spans="2:18">
      <c r="B226" t="s">
        <v>148</v>
      </c>
      <c r="D226" s="31">
        <v>4.9000000000000002E-2</v>
      </c>
    </row>
    <row r="227" spans="2:18">
      <c r="B227" t="s">
        <v>149</v>
      </c>
      <c r="D227" s="32">
        <f>0.043+2*(0.12-0.043)</f>
        <v>0.19700000000000001</v>
      </c>
    </row>
    <row r="228" spans="2:18">
      <c r="B228" t="s">
        <v>151</v>
      </c>
      <c r="D228" s="32">
        <v>4.2999999999999997E-2</v>
      </c>
    </row>
    <row r="229" spans="2:18">
      <c r="B229" t="s">
        <v>172</v>
      </c>
      <c r="D229" s="44">
        <v>12</v>
      </c>
    </row>
    <row r="230" spans="2:18">
      <c r="B230" t="s">
        <v>152</v>
      </c>
      <c r="D230">
        <v>66.75</v>
      </c>
    </row>
    <row r="231" spans="2:18">
      <c r="B231" t="s">
        <v>153</v>
      </c>
      <c r="D231" s="2">
        <f>H84</f>
        <v>561</v>
      </c>
    </row>
    <row r="233" spans="2:18" ht="15.75">
      <c r="D233" s="12"/>
    </row>
    <row r="234" spans="2:18" ht="15.75">
      <c r="B234" s="46" t="s">
        <v>146</v>
      </c>
      <c r="C234" s="43"/>
      <c r="D234" s="103">
        <v>44926</v>
      </c>
      <c r="E234" s="103">
        <f>EOMONTH(D234,12)</f>
        <v>45291</v>
      </c>
      <c r="F234" s="103">
        <f t="shared" ref="F234:M234" si="21">EOMONTH(E234,12)</f>
        <v>45657</v>
      </c>
      <c r="G234" s="104">
        <f t="shared" si="21"/>
        <v>46022</v>
      </c>
      <c r="H234" s="104">
        <f t="shared" si="21"/>
        <v>46387</v>
      </c>
      <c r="I234" s="104">
        <f t="shared" si="21"/>
        <v>46752</v>
      </c>
      <c r="J234" s="104">
        <f t="shared" si="21"/>
        <v>47118</v>
      </c>
      <c r="K234" s="104">
        <f t="shared" si="21"/>
        <v>47483</v>
      </c>
      <c r="L234" s="104">
        <f t="shared" si="21"/>
        <v>47848</v>
      </c>
      <c r="M234" s="104">
        <f t="shared" si="21"/>
        <v>48213</v>
      </c>
      <c r="O234" s="35" t="s">
        <v>166</v>
      </c>
      <c r="P234" s="35"/>
      <c r="Q234" s="35"/>
      <c r="R234" s="35"/>
    </row>
    <row r="235" spans="2:18" ht="15.75">
      <c r="B235" s="12"/>
      <c r="C235" s="12"/>
      <c r="D235" s="68">
        <v>44926</v>
      </c>
      <c r="E235" s="68">
        <v>45291</v>
      </c>
      <c r="F235" s="68">
        <v>45657</v>
      </c>
      <c r="G235" s="68">
        <v>46022</v>
      </c>
      <c r="H235" s="68">
        <v>46387</v>
      </c>
      <c r="I235" s="68">
        <v>46752</v>
      </c>
      <c r="J235" s="68">
        <v>47118</v>
      </c>
      <c r="K235" s="68">
        <v>47483</v>
      </c>
      <c r="L235" s="68">
        <v>47848</v>
      </c>
      <c r="M235" s="68">
        <v>48213</v>
      </c>
      <c r="O235" t="s">
        <v>167</v>
      </c>
      <c r="Q235" s="40"/>
    </row>
    <row r="236" spans="2:18" ht="15.75">
      <c r="B236" s="51" t="s">
        <v>155</v>
      </c>
      <c r="C236" s="51"/>
      <c r="D236" s="2">
        <f>F78</f>
        <v>3352</v>
      </c>
      <c r="E236" s="2">
        <f t="shared" ref="E236:L236" si="22">G78</f>
        <v>3898</v>
      </c>
      <c r="F236" s="2">
        <f t="shared" si="22"/>
        <v>4537</v>
      </c>
      <c r="G236" s="2">
        <f t="shared" si="22"/>
        <v>4506.4918980576213</v>
      </c>
      <c r="H236" s="2">
        <f t="shared" si="22"/>
        <v>4628.8965740950789</v>
      </c>
      <c r="I236" s="2">
        <f t="shared" si="22"/>
        <v>4699.7984052370857</v>
      </c>
      <c r="J236" s="2">
        <f t="shared" si="22"/>
        <v>4871.7716850578317</v>
      </c>
      <c r="K236" s="2">
        <f t="shared" si="22"/>
        <v>5335.5163969929154</v>
      </c>
      <c r="L236" s="2">
        <f t="shared" si="22"/>
        <v>5768.1325491523448</v>
      </c>
      <c r="O236" t="s">
        <v>168</v>
      </c>
      <c r="Q236" s="2">
        <f>L240*12</f>
        <v>149931.64641731785</v>
      </c>
    </row>
    <row r="237" spans="2:18" ht="15.75">
      <c r="B237" s="51" t="s">
        <v>156</v>
      </c>
      <c r="C237" s="51"/>
      <c r="D237" s="2">
        <f>F76</f>
        <v>733</v>
      </c>
      <c r="E237" s="2">
        <f t="shared" ref="E237:L237" si="23">G76</f>
        <v>976</v>
      </c>
      <c r="F237" s="2">
        <f t="shared" si="23"/>
        <v>1195</v>
      </c>
      <c r="G237" s="2">
        <f t="shared" si="23"/>
        <v>1434</v>
      </c>
      <c r="H237" s="2">
        <f t="shared" si="23"/>
        <v>1720.8</v>
      </c>
      <c r="I237" s="2">
        <f t="shared" si="23"/>
        <v>2064.96</v>
      </c>
      <c r="J237" s="2">
        <f t="shared" si="23"/>
        <v>2477.9519999999998</v>
      </c>
      <c r="K237" s="2">
        <f t="shared" si="23"/>
        <v>2973.5423999999998</v>
      </c>
      <c r="L237" s="2">
        <f t="shared" si="23"/>
        <v>3568.2508799999996</v>
      </c>
    </row>
    <row r="238" spans="2:18" ht="15.75">
      <c r="B238" s="51" t="s">
        <v>13</v>
      </c>
      <c r="C238" s="51"/>
      <c r="D238" s="48">
        <f>D236+D237</f>
        <v>4085</v>
      </c>
      <c r="E238" s="48">
        <f t="shared" ref="E238:G238" si="24">E236+E237</f>
        <v>4874</v>
      </c>
      <c r="F238" s="48">
        <f t="shared" si="24"/>
        <v>5732</v>
      </c>
      <c r="G238" s="48">
        <f t="shared" si="24"/>
        <v>5940.4918980576213</v>
      </c>
      <c r="H238" s="48">
        <f t="shared" ref="H238" si="25">H236+H237</f>
        <v>6349.6965740950791</v>
      </c>
      <c r="I238" s="48">
        <f t="shared" ref="I238" si="26">I236+I237</f>
        <v>6764.7584052370858</v>
      </c>
      <c r="J238" s="48">
        <f t="shared" ref="J238" si="27">J236+J237</f>
        <v>7349.723685057832</v>
      </c>
      <c r="K238" s="48">
        <f t="shared" ref="K238" si="28">K236+K237</f>
        <v>8309.0587969929147</v>
      </c>
      <c r="L238" s="48">
        <f t="shared" ref="L238" si="29">L236+L237</f>
        <v>9336.3834291523453</v>
      </c>
    </row>
    <row r="239" spans="2:18" ht="15.75">
      <c r="B239" s="51" t="s">
        <v>157</v>
      </c>
      <c r="C239" s="51"/>
      <c r="D239" s="2">
        <f>F75</f>
        <v>3212</v>
      </c>
      <c r="E239" s="2">
        <f>G75</f>
        <v>3162</v>
      </c>
      <c r="F239" s="2">
        <f>H75</f>
        <v>3138</v>
      </c>
      <c r="G239" s="2">
        <f>I75</f>
        <v>3170.6666666666665</v>
      </c>
      <c r="H239" s="2">
        <f>J75</f>
        <v>3156.8888888888887</v>
      </c>
      <c r="I239" s="2">
        <f>K75</f>
        <v>3155.1851851851848</v>
      </c>
      <c r="J239" s="2">
        <f>L75</f>
        <v>3160.9135802469132</v>
      </c>
      <c r="K239" s="2">
        <f>M75</f>
        <v>3157.662551440329</v>
      </c>
      <c r="L239" s="2">
        <f>N75</f>
        <v>3157.9204389574757</v>
      </c>
    </row>
    <row r="240" spans="2:18" ht="15.75">
      <c r="B240" s="51" t="s">
        <v>10</v>
      </c>
      <c r="C240" s="51"/>
      <c r="D240" s="48">
        <f>D238+D239</f>
        <v>7297</v>
      </c>
      <c r="E240" s="48">
        <f t="shared" ref="E240:G240" si="30">E238+E239</f>
        <v>8036</v>
      </c>
      <c r="F240" s="48">
        <f t="shared" si="30"/>
        <v>8870</v>
      </c>
      <c r="G240" s="48">
        <f t="shared" si="30"/>
        <v>9111.1585647242882</v>
      </c>
      <c r="H240" s="48">
        <f t="shared" ref="H240" si="31">H238+H239</f>
        <v>9506.5854629839669</v>
      </c>
      <c r="I240" s="48">
        <f t="shared" ref="I240" si="32">I238+I239</f>
        <v>9919.9435904222701</v>
      </c>
      <c r="J240" s="48">
        <f t="shared" ref="J240" si="33">J238+J239</f>
        <v>10510.637265304746</v>
      </c>
      <c r="K240" s="48">
        <f t="shared" ref="K240" si="34">K238+K239</f>
        <v>11466.721348433244</v>
      </c>
      <c r="L240" s="48">
        <f t="shared" ref="L240" si="35">L238+L239</f>
        <v>12494.303868109821</v>
      </c>
    </row>
    <row r="241" spans="2:13" ht="15.75">
      <c r="B241" s="51" t="s">
        <v>114</v>
      </c>
      <c r="C241" s="51"/>
      <c r="D241" s="2">
        <f>F181</f>
        <v>-1479</v>
      </c>
      <c r="E241" s="2">
        <f>G181</f>
        <v>-1388</v>
      </c>
      <c r="F241" s="2">
        <f>H181</f>
        <v>-1569</v>
      </c>
      <c r="G241" s="2">
        <f>F241*(1+I17)</f>
        <v>-1678.8300000000002</v>
      </c>
      <c r="H241" s="2">
        <f>G241*(1+J17)</f>
        <v>-1796.3481000000002</v>
      </c>
      <c r="I241" s="2">
        <f>H241*(1+K17)</f>
        <v>-1922.0924670000002</v>
      </c>
      <c r="J241" s="2">
        <f>I241*(1+L17)</f>
        <v>-2056.6389396900004</v>
      </c>
      <c r="K241" s="2">
        <f>J241*(1+M17)</f>
        <v>-2200.6036654683007</v>
      </c>
      <c r="L241" s="2">
        <f>K241*(1+N17)</f>
        <v>-2354.6459220510819</v>
      </c>
    </row>
    <row r="242" spans="2:13" ht="15.75">
      <c r="B242" s="51" t="s">
        <v>158</v>
      </c>
      <c r="C242" s="51"/>
      <c r="D242" s="2">
        <f>F217</f>
        <v>-431</v>
      </c>
      <c r="E242" s="2">
        <f t="shared" ref="E242:F242" si="36">G217</f>
        <v>987</v>
      </c>
      <c r="F242" s="2">
        <f t="shared" si="36"/>
        <v>-637</v>
      </c>
      <c r="G242" s="2">
        <f>I18*I73</f>
        <v>349.08479999999997</v>
      </c>
      <c r="H242" s="2">
        <f>J18*J73</f>
        <v>356.06649599999997</v>
      </c>
      <c r="I242" s="2">
        <f>K18*K73</f>
        <v>363.18782591999997</v>
      </c>
      <c r="J242" s="2">
        <f>L18*L73</f>
        <v>370.45158243839995</v>
      </c>
      <c r="K242" s="2">
        <f>M18*M73</f>
        <v>377.86061408716796</v>
      </c>
      <c r="L242" s="2">
        <f>N18*N73</f>
        <v>385.41782636891134</v>
      </c>
    </row>
    <row r="243" spans="2:13" ht="15.75">
      <c r="B243" s="51" t="s">
        <v>159</v>
      </c>
      <c r="C243" s="51"/>
      <c r="D243" s="48">
        <f>SUM(D240:D242)</f>
        <v>5387</v>
      </c>
      <c r="E243" s="48">
        <f t="shared" ref="E243:G243" si="37">SUM(E240:E242)</f>
        <v>7635</v>
      </c>
      <c r="F243" s="48">
        <f t="shared" si="37"/>
        <v>6664</v>
      </c>
      <c r="G243" s="48">
        <f t="shared" si="37"/>
        <v>7781.4133647242879</v>
      </c>
      <c r="H243" s="48">
        <f t="shared" ref="H243" si="38">SUM(H240:H242)</f>
        <v>8066.3038589839671</v>
      </c>
      <c r="I243" s="48">
        <f t="shared" ref="I243" si="39">SUM(I240:I242)</f>
        <v>8361.0389493422699</v>
      </c>
      <c r="J243" s="48">
        <f t="shared" ref="J243" si="40">SUM(J240:J242)</f>
        <v>8824.4499080531459</v>
      </c>
      <c r="K243" s="48">
        <f t="shared" ref="K243" si="41">SUM(K240:K242)</f>
        <v>9643.9782970521119</v>
      </c>
      <c r="L243" s="48">
        <f t="shared" ref="L243" si="42">SUM(L240:L242)</f>
        <v>10525.07577242765</v>
      </c>
    </row>
    <row r="244" spans="2:13" ht="15.75">
      <c r="B244" s="12" t="s">
        <v>160</v>
      </c>
      <c r="C244" s="12"/>
      <c r="M244" s="2">
        <f>Q236</f>
        <v>149931.64641731785</v>
      </c>
    </row>
    <row r="245" spans="2:13" ht="15.75">
      <c r="B245" s="12" t="s">
        <v>161</v>
      </c>
      <c r="C245" s="12"/>
      <c r="D245" s="2"/>
      <c r="E245" s="2"/>
      <c r="F245" s="2"/>
      <c r="G245" s="2">
        <f t="shared" ref="G245:K245" si="43">SUM(G243:G244)</f>
        <v>7781.4133647242879</v>
      </c>
      <c r="H245" s="2">
        <f t="shared" si="43"/>
        <v>8066.3038589839671</v>
      </c>
      <c r="I245" s="2">
        <f t="shared" si="43"/>
        <v>8361.0389493422699</v>
      </c>
      <c r="J245" s="2">
        <f t="shared" si="43"/>
        <v>8824.4499080531459</v>
      </c>
      <c r="K245" s="2">
        <f t="shared" si="43"/>
        <v>9643.9782970521119</v>
      </c>
      <c r="L245" s="2">
        <f>SUM(L243:L244)</f>
        <v>10525.07577242765</v>
      </c>
      <c r="M245" s="2">
        <f>M244</f>
        <v>149931.64641731785</v>
      </c>
    </row>
    <row r="246" spans="2:13" ht="15.75">
      <c r="B246" s="12" t="s">
        <v>162</v>
      </c>
      <c r="C246" s="69"/>
      <c r="G246" s="2">
        <f t="shared" ref="G246" si="44">SUM(G244:G245)</f>
        <v>7781.4133647242879</v>
      </c>
      <c r="H246" s="2">
        <f t="shared" ref="H246" si="45">SUM(H244:H245)</f>
        <v>8066.3038589839671</v>
      </c>
      <c r="I246" s="2">
        <f t="shared" ref="I246" si="46">SUM(I244:I245)</f>
        <v>8361.0389493422699</v>
      </c>
      <c r="J246" s="2">
        <f t="shared" ref="J246" si="47">SUM(J244:J245)</f>
        <v>8824.4499080531459</v>
      </c>
      <c r="K246" s="2">
        <f t="shared" ref="K246" si="48">SUM(K244:K245)</f>
        <v>9643.9782970521119</v>
      </c>
      <c r="L246" s="2">
        <f>SUM(L244:L245)</f>
        <v>10525.07577242765</v>
      </c>
      <c r="M246" s="2">
        <f>M245</f>
        <v>149931.64641731785</v>
      </c>
    </row>
    <row r="249" spans="2:13" ht="15.75">
      <c r="B249" s="45" t="s">
        <v>163</v>
      </c>
      <c r="C249" s="37"/>
    </row>
    <row r="250" spans="2:13">
      <c r="B250" s="2">
        <f>PV(C250,YEARFRAC($F$234,G234),,-G250)</f>
        <v>7031.0965376202894</v>
      </c>
      <c r="C250" s="33">
        <f>($D$224*$D$226*$D$223)+($D$225*$D$227)</f>
        <v>0.10671405563689605</v>
      </c>
      <c r="D250" s="2" t="s">
        <v>18</v>
      </c>
      <c r="E250" s="2" t="s">
        <v>18</v>
      </c>
      <c r="F250" s="2" t="s">
        <v>18</v>
      </c>
      <c r="G250" s="2">
        <f>G243</f>
        <v>7781.4133647242879</v>
      </c>
    </row>
    <row r="251" spans="2:13">
      <c r="B251" s="2">
        <f>PV(C251,YEARFRAC($F$234,H234),,-H251)</f>
        <v>6585.7270420743089</v>
      </c>
      <c r="C251" s="33">
        <f t="shared" ref="C251:C255" si="49">($D$224*$D$226*$D$223)+($D$225*$D$227)</f>
        <v>0.10671405563689605</v>
      </c>
      <c r="D251" s="33" t="s">
        <v>18</v>
      </c>
      <c r="E251" s="33" t="s">
        <v>18</v>
      </c>
      <c r="F251" s="33" t="s">
        <v>18</v>
      </c>
      <c r="G251" s="33" t="s">
        <v>18</v>
      </c>
      <c r="H251" s="2">
        <f>H243</f>
        <v>8066.3038589839671</v>
      </c>
    </row>
    <row r="252" spans="2:13">
      <c r="B252" s="2">
        <f>PV(C252,YEARFRAC($F$234,I$234),,-I252)</f>
        <v>6168.136408337552</v>
      </c>
      <c r="C252" s="33">
        <f t="shared" si="49"/>
        <v>0.10671405563689605</v>
      </c>
      <c r="D252" s="33" t="s">
        <v>18</v>
      </c>
      <c r="E252" s="33" t="s">
        <v>18</v>
      </c>
      <c r="F252" s="33" t="s">
        <v>18</v>
      </c>
      <c r="G252" s="33" t="s">
        <v>18</v>
      </c>
      <c r="H252" s="33" t="s">
        <v>18</v>
      </c>
      <c r="I252" s="2">
        <f>I243</f>
        <v>8361.0389493422699</v>
      </c>
    </row>
    <row r="253" spans="2:13">
      <c r="B253" s="2">
        <f>PV(C253,YEARFRAC($F$234,I$234),,-J253)</f>
        <v>6510.0056453744182</v>
      </c>
      <c r="C253" s="33">
        <f t="shared" si="49"/>
        <v>0.10671405563689605</v>
      </c>
      <c r="D253" s="33" t="s">
        <v>18</v>
      </c>
      <c r="E253" s="33" t="s">
        <v>18</v>
      </c>
      <c r="F253" s="33" t="s">
        <v>18</v>
      </c>
      <c r="G253" s="33" t="s">
        <v>18</v>
      </c>
      <c r="H253" s="33" t="s">
        <v>18</v>
      </c>
      <c r="I253" s="33" t="s">
        <v>18</v>
      </c>
      <c r="J253" s="2">
        <f>J243</f>
        <v>8824.4499080531459</v>
      </c>
    </row>
    <row r="254" spans="2:13">
      <c r="B254" s="2">
        <f>PV(C254,YEARFRAC($F$234,I$234),,-K254)</f>
        <v>7114.591142999494</v>
      </c>
      <c r="C254" s="33">
        <f t="shared" si="49"/>
        <v>0.10671405563689605</v>
      </c>
      <c r="D254" s="33" t="s">
        <v>18</v>
      </c>
      <c r="E254" s="33" t="s">
        <v>18</v>
      </c>
      <c r="F254" s="33" t="s">
        <v>18</v>
      </c>
      <c r="G254" s="33" t="s">
        <v>18</v>
      </c>
      <c r="H254" s="33" t="s">
        <v>18</v>
      </c>
      <c r="I254" s="33" t="s">
        <v>18</v>
      </c>
      <c r="J254" s="33" t="s">
        <v>18</v>
      </c>
      <c r="K254" s="2">
        <f>K243</f>
        <v>9643.9782970521119</v>
      </c>
    </row>
    <row r="255" spans="2:13">
      <c r="B255" s="2">
        <f>PV(C255,YEARFRAC($F$234,I$234),,-L255)</f>
        <v>7764.5976134974799</v>
      </c>
      <c r="C255" s="33">
        <f t="shared" si="49"/>
        <v>0.10671405563689605</v>
      </c>
      <c r="D255" s="2" t="s">
        <v>18</v>
      </c>
      <c r="E255" s="2" t="s">
        <v>18</v>
      </c>
      <c r="F255" s="2" t="s">
        <v>18</v>
      </c>
      <c r="G255" s="2" t="s">
        <v>18</v>
      </c>
      <c r="H255" s="2" t="s">
        <v>18</v>
      </c>
      <c r="I255" s="2" t="s">
        <v>18</v>
      </c>
      <c r="J255" s="2" t="s">
        <v>18</v>
      </c>
      <c r="K255" s="2" t="s">
        <v>18</v>
      </c>
      <c r="L255" s="2">
        <f>L243</f>
        <v>10525.07577242765</v>
      </c>
    </row>
    <row r="256" spans="2:13">
      <c r="B256" s="2">
        <f>PV(C256,YEARFRAC($F$234,L$234),,-L256)</f>
        <v>23695.17168936097</v>
      </c>
      <c r="C256" s="32">
        <v>0.36</v>
      </c>
      <c r="D256" s="33" t="s">
        <v>18</v>
      </c>
      <c r="E256" s="33" t="s">
        <v>18</v>
      </c>
      <c r="F256" s="33" t="s">
        <v>18</v>
      </c>
      <c r="G256" t="s">
        <v>18</v>
      </c>
      <c r="H256" s="47" t="s">
        <v>18</v>
      </c>
      <c r="I256" t="s">
        <v>18</v>
      </c>
      <c r="J256" s="47" t="s">
        <v>18</v>
      </c>
      <c r="K256" s="47" t="s">
        <v>18</v>
      </c>
      <c r="L256">
        <f>Q236</f>
        <v>149931.64641731785</v>
      </c>
    </row>
    <row r="257" spans="2:13">
      <c r="B257" s="48">
        <f>SUM(B250:B256)</f>
        <v>64869.326079264509</v>
      </c>
      <c r="C257" s="49">
        <f>SUM(C250:C256)</f>
        <v>1.0002843338213763</v>
      </c>
      <c r="D257" s="50">
        <f>SUM(D250:D256)</f>
        <v>0</v>
      </c>
      <c r="E257" s="50">
        <f t="shared" ref="E257:L257" si="50">SUM(E250:E256)</f>
        <v>0</v>
      </c>
      <c r="F257" s="50">
        <f t="shared" si="50"/>
        <v>0</v>
      </c>
      <c r="G257" s="50">
        <f t="shared" si="50"/>
        <v>7781.4133647242879</v>
      </c>
      <c r="H257" s="50">
        <f t="shared" si="50"/>
        <v>8066.3038589839671</v>
      </c>
      <c r="I257" s="50">
        <f t="shared" si="50"/>
        <v>8361.0389493422699</v>
      </c>
      <c r="J257" s="50">
        <f t="shared" si="50"/>
        <v>8824.4499080531459</v>
      </c>
      <c r="K257" s="50">
        <f t="shared" si="50"/>
        <v>9643.9782970521119</v>
      </c>
      <c r="L257" s="50">
        <f t="shared" si="50"/>
        <v>160456.72218974552</v>
      </c>
      <c r="M257" s="8"/>
    </row>
    <row r="259" spans="2:13">
      <c r="B259" s="36" t="s">
        <v>175</v>
      </c>
      <c r="C259" s="35"/>
      <c r="F259" s="36" t="s">
        <v>176</v>
      </c>
      <c r="G259" s="35"/>
      <c r="J259" s="67" t="s">
        <v>179</v>
      </c>
      <c r="K259" s="67"/>
    </row>
    <row r="260" spans="2:13">
      <c r="B260" s="53" t="s">
        <v>169</v>
      </c>
      <c r="C260" s="2">
        <f>B257</f>
        <v>64869.326079264509</v>
      </c>
      <c r="F260" t="s">
        <v>177</v>
      </c>
      <c r="G260" s="2">
        <f>D230*D231</f>
        <v>37446.75</v>
      </c>
      <c r="J260" t="s">
        <v>180</v>
      </c>
      <c r="K260">
        <f>D230</f>
        <v>66.75</v>
      </c>
    </row>
    <row r="261" spans="2:13">
      <c r="B261" t="s">
        <v>170</v>
      </c>
      <c r="C261" s="2">
        <f>H102+H206</f>
        <v>615</v>
      </c>
      <c r="F261" t="s">
        <v>171</v>
      </c>
      <c r="G261" s="2">
        <f>H125</f>
        <v>23730</v>
      </c>
      <c r="J261" t="s">
        <v>181</v>
      </c>
      <c r="K261">
        <f>C263/D231</f>
        <v>158.81341547105976</v>
      </c>
    </row>
    <row r="262" spans="2:13">
      <c r="B262" t="s">
        <v>171</v>
      </c>
      <c r="C262" s="2">
        <f>H125+H120</f>
        <v>24840</v>
      </c>
      <c r="F262" t="s">
        <v>170</v>
      </c>
      <c r="G262" s="2">
        <f>H102</f>
        <v>1236</v>
      </c>
      <c r="J262" t="s">
        <v>182</v>
      </c>
      <c r="K262" s="32">
        <f>K261/K260</f>
        <v>2.3792271980683108</v>
      </c>
    </row>
    <row r="263" spans="2:13">
      <c r="B263" s="8" t="s">
        <v>173</v>
      </c>
      <c r="C263" s="52">
        <f>(C260-C261+C262)</f>
        <v>89094.326079264516</v>
      </c>
      <c r="F263" s="8" t="s">
        <v>178</v>
      </c>
      <c r="G263" s="48">
        <f>G260+G261-G262</f>
        <v>59940.75</v>
      </c>
      <c r="J263" t="s">
        <v>162</v>
      </c>
      <c r="K263" s="33">
        <v>10</v>
      </c>
    </row>
    <row r="264" spans="2:13">
      <c r="C264" s="44"/>
    </row>
    <row r="265" spans="2:13">
      <c r="B265" s="1" t="s">
        <v>174</v>
      </c>
      <c r="C265" s="55">
        <f>C263/D231</f>
        <v>158.81341547105976</v>
      </c>
      <c r="F265" s="1" t="s">
        <v>174</v>
      </c>
      <c r="G265" s="54">
        <f>G263/D231</f>
        <v>106.84625668449198</v>
      </c>
    </row>
  </sheetData>
  <mergeCells count="6">
    <mergeCell ref="J259:K259"/>
    <mergeCell ref="L1:N1"/>
    <mergeCell ref="I62:N62"/>
    <mergeCell ref="F62:H62"/>
    <mergeCell ref="F5:H5"/>
    <mergeCell ref="I5:N5"/>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F3C3305-0D77-4AF0-A451-ACCE4021A8F8}">
          <x14:formula1>
            <xm:f>Assumptions!$B$3:$B$50</xm:f>
          </x14:formula1>
          <xm:sqref>D3:D4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5369-14B1-408A-A15E-89A8007D9B27}">
  <dimension ref="A2:O33"/>
  <sheetViews>
    <sheetView tabSelected="1" workbookViewId="0">
      <selection activeCell="B22" sqref="B22"/>
    </sheetView>
  </sheetViews>
  <sheetFormatPr defaultRowHeight="15"/>
  <cols>
    <col min="1" max="1" width="27.140625" bestFit="1" customWidth="1"/>
    <col min="2" max="2" width="85.42578125" customWidth="1"/>
    <col min="3" max="3" width="48.42578125" bestFit="1" customWidth="1"/>
  </cols>
  <sheetData>
    <row r="2" spans="1:4">
      <c r="A2" s="1" t="s">
        <v>198</v>
      </c>
    </row>
    <row r="4" spans="1:4">
      <c r="A4" t="s">
        <v>185</v>
      </c>
      <c r="B4" s="2">
        <v>66.78</v>
      </c>
    </row>
    <row r="5" spans="1:4">
      <c r="A5" t="s">
        <v>221</v>
      </c>
      <c r="B5" s="2">
        <v>561288944</v>
      </c>
    </row>
    <row r="6" spans="1:4">
      <c r="A6" t="s">
        <v>222</v>
      </c>
      <c r="B6" s="2">
        <f>B5*B4</f>
        <v>37482875680.32</v>
      </c>
    </row>
    <row r="7" spans="1:4">
      <c r="A7" t="s">
        <v>170</v>
      </c>
      <c r="B7" s="2">
        <f>615*100000</f>
        <v>61500000</v>
      </c>
    </row>
    <row r="8" spans="1:4">
      <c r="A8" t="s">
        <v>171</v>
      </c>
      <c r="B8" s="2">
        <f>100000*24840</f>
        <v>2484000000</v>
      </c>
    </row>
    <row r="9" spans="1:4">
      <c r="A9" t="s">
        <v>169</v>
      </c>
      <c r="B9" s="2">
        <f>B6-B7+B8</f>
        <v>39905375680.32</v>
      </c>
    </row>
    <row r="12" spans="1:4">
      <c r="A12" s="1" t="s">
        <v>199</v>
      </c>
      <c r="B12" s="1" t="s">
        <v>209</v>
      </c>
      <c r="C12" s="1" t="s">
        <v>210</v>
      </c>
      <c r="D12" s="1" t="s">
        <v>208</v>
      </c>
    </row>
    <row r="13" spans="1:4">
      <c r="A13" t="s">
        <v>202</v>
      </c>
      <c r="B13" t="s">
        <v>204</v>
      </c>
      <c r="C13" t="s">
        <v>211</v>
      </c>
      <c r="D13" t="s">
        <v>212</v>
      </c>
    </row>
    <row r="14" spans="1:4">
      <c r="B14" t="s">
        <v>200</v>
      </c>
      <c r="C14" t="s">
        <v>213</v>
      </c>
      <c r="D14" t="s">
        <v>214</v>
      </c>
    </row>
    <row r="15" spans="1:4">
      <c r="B15" t="s">
        <v>201</v>
      </c>
      <c r="C15" t="s">
        <v>215</v>
      </c>
      <c r="D15" t="s">
        <v>216</v>
      </c>
    </row>
    <row r="17" spans="1:15">
      <c r="A17" t="s">
        <v>203</v>
      </c>
      <c r="B17" t="s">
        <v>205</v>
      </c>
      <c r="C17" t="s">
        <v>217</v>
      </c>
      <c r="D17" t="s">
        <v>218</v>
      </c>
    </row>
    <row r="18" spans="1:15">
      <c r="B18" t="s">
        <v>206</v>
      </c>
      <c r="C18" t="s">
        <v>217</v>
      </c>
      <c r="D18" t="s">
        <v>219</v>
      </c>
    </row>
    <row r="19" spans="1:15">
      <c r="B19" t="s">
        <v>207</v>
      </c>
      <c r="C19" t="s">
        <v>217</v>
      </c>
      <c r="D19" t="s">
        <v>220</v>
      </c>
    </row>
    <row r="24" spans="1:15" ht="45.75">
      <c r="A24" t="s">
        <v>197</v>
      </c>
      <c r="B24" s="95" t="s">
        <v>121</v>
      </c>
    </row>
    <row r="25" spans="1:15" ht="30">
      <c r="A25" t="s">
        <v>196</v>
      </c>
      <c r="B25" s="96" t="s">
        <v>122</v>
      </c>
    </row>
    <row r="26" spans="1:15" ht="15.75">
      <c r="A26" t="s">
        <v>195</v>
      </c>
      <c r="B26" s="95" t="s">
        <v>123</v>
      </c>
    </row>
    <row r="29" spans="1:15" ht="30">
      <c r="A29" t="s">
        <v>124</v>
      </c>
      <c r="B29" s="97" t="s">
        <v>126</v>
      </c>
    </row>
    <row r="30" spans="1:15" ht="45">
      <c r="A30" t="s">
        <v>124</v>
      </c>
      <c r="B30" s="96" t="s">
        <v>127</v>
      </c>
    </row>
    <row r="31" spans="1:15" ht="30">
      <c r="A31" t="s">
        <v>124</v>
      </c>
      <c r="B31" s="96" t="s">
        <v>128</v>
      </c>
      <c r="O31" s="12" t="s">
        <v>125</v>
      </c>
    </row>
    <row r="32" spans="1:15" ht="45">
      <c r="B32" s="96" t="s">
        <v>129</v>
      </c>
    </row>
    <row r="33" spans="1:2" ht="45">
      <c r="A33" t="s">
        <v>124</v>
      </c>
      <c r="B33" s="96"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A0A7-3268-4858-8D19-5C5E22737EEC}">
  <dimension ref="B2:B5"/>
  <sheetViews>
    <sheetView zoomScaleNormal="100" workbookViewId="0">
      <selection activeCell="B6" sqref="B6"/>
    </sheetView>
  </sheetViews>
  <sheetFormatPr defaultRowHeight="15"/>
  <cols>
    <col min="2" max="2" width="35.28515625" bestFit="1" customWidth="1"/>
  </cols>
  <sheetData>
    <row r="2" spans="2:2">
      <c r="B2" t="s">
        <v>189</v>
      </c>
    </row>
    <row r="3" spans="2:2">
      <c r="B3">
        <v>1</v>
      </c>
    </row>
    <row r="4" spans="2:2">
      <c r="B4">
        <v>2</v>
      </c>
    </row>
    <row r="5" spans="2:2">
      <c r="B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FISERV Inc 3 income statement</vt:lpstr>
      <vt:lpstr>Business Information</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 Somosa</dc:creator>
  <cp:lastModifiedBy>Johann Somosa</cp:lastModifiedBy>
  <dcterms:created xsi:type="dcterms:W3CDTF">2025-12-09T08:05:00Z</dcterms:created>
  <dcterms:modified xsi:type="dcterms:W3CDTF">2026-01-16T03:42:24Z</dcterms:modified>
</cp:coreProperties>
</file>