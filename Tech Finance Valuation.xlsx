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n\Desktop\Finance\"/>
    </mc:Choice>
  </mc:AlternateContent>
  <xr:revisionPtr revIDLastSave="0" documentId="8_{E37C4F1A-6760-4201-B074-B5F800010C6C}" xr6:coauthVersionLast="47" xr6:coauthVersionMax="47" xr10:uidLastSave="{00000000-0000-0000-0000-000000000000}"/>
  <bookViews>
    <workbookView xWindow="-120" yWindow="-120" windowWidth="38640" windowHeight="21240" activeTab="1" xr2:uid="{6ACC9531-D97C-4E94-AB52-1010E05B5708}"/>
  </bookViews>
  <sheets>
    <sheet name="Book1" sheetId="1" r:id="rId1"/>
    <sheet name="Tech Finance Valuation" sheetId="2" r:id="rId2"/>
  </sheets>
  <calcPr calcId="0"/>
</workbook>
</file>

<file path=xl/calcChain.xml><?xml version="1.0" encoding="utf-8"?>
<calcChain xmlns="http://schemas.openxmlformats.org/spreadsheetml/2006/main">
  <c r="I30" i="2" l="1"/>
  <c r="J30" i="2"/>
  <c r="K30" i="2"/>
  <c r="K26" i="2"/>
  <c r="J26" i="2"/>
  <c r="K25" i="2"/>
  <c r="J25" i="2"/>
  <c r="K24" i="2"/>
  <c r="J24" i="2"/>
  <c r="J23" i="2"/>
  <c r="K23" i="2"/>
  <c r="I12" i="2"/>
  <c r="I13" i="2" s="1"/>
  <c r="I15" i="2" s="1"/>
  <c r="I17" i="2" s="1"/>
  <c r="I28" i="2" s="1"/>
  <c r="K12" i="2"/>
  <c r="K13" i="2" s="1"/>
  <c r="K15" i="2" s="1"/>
  <c r="K17" i="2" s="1"/>
  <c r="K28" i="2" s="1"/>
  <c r="J12" i="2"/>
  <c r="J13" i="2" s="1"/>
  <c r="J15" i="2" s="1"/>
  <c r="J17" i="2" s="1"/>
  <c r="J28" i="2" s="1"/>
  <c r="J3" i="2"/>
  <c r="K3" i="2" s="1"/>
  <c r="K29" i="2" l="1"/>
  <c r="J29" i="2"/>
  <c r="I29" i="2"/>
</calcChain>
</file>

<file path=xl/sharedStrings.xml><?xml version="1.0" encoding="utf-8"?>
<sst xmlns="http://schemas.openxmlformats.org/spreadsheetml/2006/main" count="68" uniqueCount="68">
  <si>
    <t>Company</t>
  </si>
  <si>
    <t>Ticket</t>
  </si>
  <si>
    <t>Price</t>
  </si>
  <si>
    <t>Market CAP</t>
  </si>
  <si>
    <t>Paypal</t>
  </si>
  <si>
    <t>PYPL</t>
  </si>
  <si>
    <t>Adyen</t>
  </si>
  <si>
    <t>ADYEN.AS</t>
  </si>
  <si>
    <t>Shopify</t>
  </si>
  <si>
    <t>SHOP</t>
  </si>
  <si>
    <t>Fiserv</t>
  </si>
  <si>
    <t>FISV</t>
  </si>
  <si>
    <t>Global Payments</t>
  </si>
  <si>
    <t>GPN</t>
  </si>
  <si>
    <t>Intuit</t>
  </si>
  <si>
    <t>INTU</t>
  </si>
  <si>
    <t>Lightspeed</t>
  </si>
  <si>
    <t>LSPD</t>
  </si>
  <si>
    <t>Toast</t>
  </si>
  <si>
    <t>TOST</t>
  </si>
  <si>
    <t>Affirm</t>
  </si>
  <si>
    <t>AFRM</t>
  </si>
  <si>
    <t>Klarna</t>
  </si>
  <si>
    <t>KLAR</t>
  </si>
  <si>
    <t>Sofi</t>
  </si>
  <si>
    <t>SOFI</t>
  </si>
  <si>
    <t>Coinbase</t>
  </si>
  <si>
    <t>COIN</t>
  </si>
  <si>
    <t>NCR VOIYIX</t>
  </si>
  <si>
    <t>VYX</t>
  </si>
  <si>
    <t>NCR Atleos Corporation</t>
  </si>
  <si>
    <t>NATL</t>
  </si>
  <si>
    <t>Crowdstrike</t>
  </si>
  <si>
    <t>CRWD</t>
  </si>
  <si>
    <t>Snowflake inc</t>
  </si>
  <si>
    <t>SNOW</t>
  </si>
  <si>
    <t>NetEase Inc.</t>
  </si>
  <si>
    <t>NTES</t>
  </si>
  <si>
    <t>2023/E</t>
  </si>
  <si>
    <t>2024/E</t>
  </si>
  <si>
    <t>Income Statement</t>
  </si>
  <si>
    <t>Revenue</t>
  </si>
  <si>
    <t>COGS</t>
  </si>
  <si>
    <t>Q123</t>
  </si>
  <si>
    <t>Q223</t>
  </si>
  <si>
    <t>Q324</t>
  </si>
  <si>
    <t>Gross Profit</t>
  </si>
  <si>
    <t>EBIT</t>
  </si>
  <si>
    <t>Other Income(Expense)</t>
  </si>
  <si>
    <t>Tax</t>
  </si>
  <si>
    <t>Net income (loss)</t>
  </si>
  <si>
    <t>Transaction Expense</t>
  </si>
  <si>
    <t>Customer Support and Operations</t>
  </si>
  <si>
    <t>Sales and Marketing</t>
  </si>
  <si>
    <t>R&amp;D</t>
  </si>
  <si>
    <t>G&amp;A</t>
  </si>
  <si>
    <t>Restructuring and other</t>
  </si>
  <si>
    <t>Financial Ratios</t>
  </si>
  <si>
    <t>Revenue Y/Y</t>
  </si>
  <si>
    <t>G&amp;A Y/Y</t>
  </si>
  <si>
    <t>Sales and Marketing Y/Y</t>
  </si>
  <si>
    <t>R&amp;D Y/Y</t>
  </si>
  <si>
    <t>Profit Margin</t>
  </si>
  <si>
    <t>Gross Margin</t>
  </si>
  <si>
    <t>Shares</t>
  </si>
  <si>
    <t>EPS</t>
  </si>
  <si>
    <t>Transaction and Credit COGS</t>
  </si>
  <si>
    <t>Transaction and Credit COGS (% of Revenue)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</si>
</sst>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\F&quot;Y&quot;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3" fontId="0" fillId="0" borderId="0" xfId="0" applyNumberFormat="1"/>
    <xf numFmtId="9" fontId="0" fillId="0" borderId="0" xfId="1" applyFont="1"/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37" fontId="0" fillId="0" borderId="0" xfId="0" applyNumberFormat="1" applyAlignment="1">
      <alignment horizontal="right"/>
    </xf>
    <xf numFmtId="37" fontId="16" fillId="0" borderId="0" xfId="0" applyNumberFormat="1" applyFont="1" applyAlignment="1">
      <alignment horizontal="right"/>
    </xf>
    <xf numFmtId="0" fontId="16" fillId="0" borderId="10" xfId="0" applyFont="1" applyBorder="1" applyAlignment="1">
      <alignment horizontal="right"/>
    </xf>
    <xf numFmtId="37" fontId="16" fillId="0" borderId="10" xfId="0" applyNumberFormat="1" applyFont="1" applyBorder="1" applyAlignment="1">
      <alignment horizontal="right"/>
    </xf>
    <xf numFmtId="9" fontId="0" fillId="0" borderId="0" xfId="1" applyFont="1" applyAlignment="1">
      <alignment horizontal="right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6" fillId="0" borderId="10" xfId="0" applyFont="1" applyBorder="1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69" fontId="16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477F-D760-4136-AEA4-C1B604483D0F}">
  <dimension ref="B2:I19"/>
  <sheetViews>
    <sheetView workbookViewId="0">
      <selection activeCell="E42" sqref="E42"/>
    </sheetView>
  </sheetViews>
  <sheetFormatPr defaultRowHeight="15" x14ac:dyDescent="0.25"/>
  <cols>
    <col min="2" max="2" width="22" bestFit="1" customWidth="1"/>
    <col min="3" max="3" width="9.5703125" bestFit="1" customWidth="1"/>
    <col min="4" max="4" width="7" bestFit="1" customWidth="1"/>
    <col min="5" max="5" width="11.140625" bestFit="1" customWidth="1"/>
  </cols>
  <sheetData>
    <row r="2" spans="2:9" x14ac:dyDescent="0.25">
      <c r="B2" t="s">
        <v>0</v>
      </c>
      <c r="C2" t="s">
        <v>1</v>
      </c>
      <c r="D2" t="s">
        <v>2</v>
      </c>
      <c r="E2" t="s">
        <v>3</v>
      </c>
      <c r="F2" t="s">
        <v>38</v>
      </c>
      <c r="G2" t="s">
        <v>39</v>
      </c>
      <c r="H2">
        <v>2023</v>
      </c>
      <c r="I2">
        <v>2024</v>
      </c>
    </row>
    <row r="3" spans="2:9" x14ac:dyDescent="0.25">
      <c r="B3" t="s">
        <v>4</v>
      </c>
      <c r="C3" t="s">
        <v>5</v>
      </c>
      <c r="D3">
        <v>67.400000000000006</v>
      </c>
      <c r="E3" s="1">
        <v>63063000</v>
      </c>
    </row>
    <row r="4" spans="2:9" x14ac:dyDescent="0.25">
      <c r="B4" t="s">
        <v>6</v>
      </c>
      <c r="C4" t="s">
        <v>7</v>
      </c>
      <c r="D4">
        <v>1467.2</v>
      </c>
      <c r="E4" s="1">
        <v>46926000</v>
      </c>
    </row>
    <row r="5" spans="2:9" x14ac:dyDescent="0.25">
      <c r="B5" t="s">
        <v>8</v>
      </c>
      <c r="C5" t="s">
        <v>9</v>
      </c>
      <c r="D5">
        <v>158.94</v>
      </c>
      <c r="E5" s="1">
        <v>206700000</v>
      </c>
    </row>
    <row r="6" spans="2:9" x14ac:dyDescent="0.25">
      <c r="B6" t="s">
        <v>10</v>
      </c>
      <c r="C6" t="s">
        <v>11</v>
      </c>
      <c r="D6">
        <v>64.260000000000005</v>
      </c>
      <c r="E6" s="1">
        <v>34562000</v>
      </c>
    </row>
    <row r="7" spans="2:9" x14ac:dyDescent="0.25">
      <c r="B7" t="s">
        <v>12</v>
      </c>
      <c r="C7" t="s">
        <v>13</v>
      </c>
      <c r="D7">
        <v>77.23</v>
      </c>
      <c r="E7" s="1">
        <v>18284000</v>
      </c>
    </row>
    <row r="8" spans="2:9" x14ac:dyDescent="0.25">
      <c r="B8" t="s">
        <v>14</v>
      </c>
      <c r="C8" t="s">
        <v>15</v>
      </c>
      <c r="D8">
        <v>654.32000000000005</v>
      </c>
      <c r="E8" s="1">
        <v>184428000</v>
      </c>
    </row>
    <row r="9" spans="2:9" x14ac:dyDescent="0.25">
      <c r="B9" t="s">
        <v>16</v>
      </c>
      <c r="C9" t="s">
        <v>17</v>
      </c>
      <c r="D9">
        <v>13.15</v>
      </c>
      <c r="E9" s="1">
        <v>1781000</v>
      </c>
    </row>
    <row r="10" spans="2:9" x14ac:dyDescent="0.25">
      <c r="B10" t="s">
        <v>18</v>
      </c>
      <c r="C10" t="s">
        <v>19</v>
      </c>
      <c r="D10">
        <v>37.72</v>
      </c>
      <c r="E10" s="1">
        <v>22179000</v>
      </c>
    </row>
    <row r="11" spans="2:9" x14ac:dyDescent="0.25">
      <c r="B11" t="s">
        <v>20</v>
      </c>
      <c r="C11" t="s">
        <v>21</v>
      </c>
      <c r="D11">
        <v>75.14</v>
      </c>
      <c r="E11" s="1">
        <v>24802000</v>
      </c>
    </row>
    <row r="12" spans="2:9" x14ac:dyDescent="0.25">
      <c r="B12" t="s">
        <v>22</v>
      </c>
      <c r="C12" t="s">
        <v>23</v>
      </c>
      <c r="D12">
        <v>36.92</v>
      </c>
      <c r="E12" s="1">
        <v>13948000</v>
      </c>
    </row>
    <row r="13" spans="2:9" x14ac:dyDescent="0.25">
      <c r="B13" t="s">
        <v>24</v>
      </c>
      <c r="C13" t="s">
        <v>25</v>
      </c>
      <c r="D13">
        <v>30.95</v>
      </c>
      <c r="E13" s="1">
        <v>37323000</v>
      </c>
    </row>
    <row r="14" spans="2:9" x14ac:dyDescent="0.25">
      <c r="B14" t="s">
        <v>26</v>
      </c>
      <c r="C14" t="s">
        <v>27</v>
      </c>
      <c r="D14">
        <v>304.01</v>
      </c>
      <c r="E14" s="1">
        <v>81974000</v>
      </c>
    </row>
    <row r="15" spans="2:9" x14ac:dyDescent="0.25">
      <c r="B15" t="s">
        <v>28</v>
      </c>
      <c r="C15" t="s">
        <v>29</v>
      </c>
      <c r="D15">
        <v>11.2</v>
      </c>
      <c r="E15" s="1">
        <v>1551000</v>
      </c>
    </row>
    <row r="16" spans="2:9" x14ac:dyDescent="0.25">
      <c r="B16" t="s">
        <v>30</v>
      </c>
      <c r="C16" t="s">
        <v>31</v>
      </c>
      <c r="D16">
        <v>35.82</v>
      </c>
      <c r="E16" s="1">
        <v>2647000</v>
      </c>
    </row>
    <row r="17" spans="2:5" x14ac:dyDescent="0.25">
      <c r="B17" t="s">
        <v>32</v>
      </c>
      <c r="C17" t="s">
        <v>33</v>
      </c>
      <c r="D17">
        <v>556.73</v>
      </c>
      <c r="E17" s="1">
        <v>139714000</v>
      </c>
    </row>
    <row r="18" spans="2:5" x14ac:dyDescent="0.25">
      <c r="B18" t="s">
        <v>34</v>
      </c>
      <c r="C18" t="s">
        <v>35</v>
      </c>
      <c r="D18">
        <v>271.26</v>
      </c>
      <c r="E18" s="1">
        <v>91903000</v>
      </c>
    </row>
    <row r="19" spans="2:5" x14ac:dyDescent="0.25">
      <c r="B19" t="s">
        <v>36</v>
      </c>
      <c r="C19" t="s">
        <v>37</v>
      </c>
      <c r="D19">
        <v>142.34</v>
      </c>
      <c r="E19" s="1">
        <v>90129000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8B39-A7F8-4752-8A63-109C7DCCC8F1}">
  <dimension ref="B2:K30"/>
  <sheetViews>
    <sheetView tabSelected="1" zoomScale="115" zoomScaleNormal="115" workbookViewId="0">
      <selection activeCell="B2" sqref="B2"/>
    </sheetView>
  </sheetViews>
  <sheetFormatPr defaultRowHeight="15" x14ac:dyDescent="0.25"/>
  <cols>
    <col min="2" max="2" width="40.5703125" bestFit="1" customWidth="1"/>
    <col min="9" max="9" width="10.42578125" bestFit="1" customWidth="1"/>
    <col min="11" max="11" width="7.85546875" bestFit="1" customWidth="1"/>
  </cols>
  <sheetData>
    <row r="2" spans="2:11" x14ac:dyDescent="0.25">
      <c r="B2" s="3" t="s">
        <v>40</v>
      </c>
      <c r="C2" s="3"/>
      <c r="D2" s="3"/>
      <c r="E2" s="3"/>
      <c r="F2" s="3"/>
      <c r="G2" s="3"/>
      <c r="H2" s="3"/>
      <c r="I2" s="3"/>
      <c r="J2" s="3"/>
      <c r="K2" s="3"/>
    </row>
    <row r="3" spans="2:11" x14ac:dyDescent="0.25">
      <c r="B3" s="3"/>
      <c r="C3" s="13"/>
      <c r="D3" s="14" t="s">
        <v>43</v>
      </c>
      <c r="E3" s="14" t="s">
        <v>44</v>
      </c>
      <c r="F3" s="14" t="s">
        <v>45</v>
      </c>
      <c r="G3" s="14"/>
      <c r="H3" s="14"/>
      <c r="I3" s="15">
        <v>44926</v>
      </c>
      <c r="J3" s="15">
        <f>EOMONTH(I3,12)</f>
        <v>45291</v>
      </c>
      <c r="K3" s="15">
        <f>EOMONTH(J3,12)</f>
        <v>45657</v>
      </c>
    </row>
    <row r="4" spans="2:11" x14ac:dyDescent="0.25">
      <c r="B4" s="10" t="s">
        <v>41</v>
      </c>
      <c r="C4" s="3"/>
      <c r="D4" s="3"/>
      <c r="E4" s="3"/>
      <c r="F4" s="3"/>
      <c r="G4" s="3"/>
      <c r="H4" s="3"/>
      <c r="I4" s="5">
        <v>27518</v>
      </c>
      <c r="J4" s="5">
        <v>29771</v>
      </c>
      <c r="K4" s="5">
        <v>31797</v>
      </c>
    </row>
    <row r="5" spans="2:11" x14ac:dyDescent="0.25">
      <c r="B5" s="10" t="s">
        <v>51</v>
      </c>
      <c r="C5" s="3"/>
      <c r="D5" s="3"/>
      <c r="E5" s="3"/>
      <c r="F5" s="3"/>
      <c r="G5" s="3"/>
      <c r="H5" s="3"/>
      <c r="I5" s="6">
        <v>12173</v>
      </c>
      <c r="J5" s="6">
        <v>14385</v>
      </c>
      <c r="K5" s="6">
        <v>15697</v>
      </c>
    </row>
    <row r="6" spans="2:11" x14ac:dyDescent="0.25">
      <c r="B6" s="16" t="s">
        <v>66</v>
      </c>
      <c r="C6" s="3"/>
      <c r="D6" s="3"/>
      <c r="E6" s="3"/>
      <c r="F6" s="3"/>
      <c r="G6" s="3"/>
      <c r="H6" s="3"/>
      <c r="I6" s="5">
        <v>1572</v>
      </c>
      <c r="J6" s="5">
        <v>1682</v>
      </c>
      <c r="K6" s="5">
        <v>1442</v>
      </c>
    </row>
    <row r="7" spans="2:11" x14ac:dyDescent="0.25">
      <c r="B7" s="10" t="s">
        <v>52</v>
      </c>
      <c r="C7" s="3"/>
      <c r="D7" s="3"/>
      <c r="E7" s="3"/>
      <c r="F7" s="3"/>
      <c r="G7" s="3"/>
      <c r="H7" s="3"/>
      <c r="I7" s="5">
        <v>2120</v>
      </c>
      <c r="J7" s="5">
        <v>1919</v>
      </c>
      <c r="K7" s="5">
        <v>1768</v>
      </c>
    </row>
    <row r="8" spans="2:11" x14ac:dyDescent="0.25">
      <c r="B8" s="10" t="s">
        <v>53</v>
      </c>
      <c r="C8" s="3"/>
      <c r="D8" s="3"/>
      <c r="E8" s="3"/>
      <c r="F8" s="3"/>
      <c r="G8" s="3"/>
      <c r="H8" s="3"/>
      <c r="I8" s="5">
        <v>2257</v>
      </c>
      <c r="J8" s="5">
        <v>1809</v>
      </c>
      <c r="K8" s="5">
        <v>2001</v>
      </c>
    </row>
    <row r="9" spans="2:11" x14ac:dyDescent="0.25">
      <c r="B9" s="10" t="s">
        <v>54</v>
      </c>
      <c r="C9" s="3"/>
      <c r="D9" s="3"/>
      <c r="E9" s="3"/>
      <c r="F9" s="3"/>
      <c r="G9" s="3"/>
      <c r="H9" s="3"/>
      <c r="I9" s="5">
        <v>3253</v>
      </c>
      <c r="J9" s="5">
        <v>2973</v>
      </c>
      <c r="K9" s="5">
        <v>2979</v>
      </c>
    </row>
    <row r="10" spans="2:11" x14ac:dyDescent="0.25">
      <c r="B10" s="10" t="s">
        <v>55</v>
      </c>
      <c r="C10" s="3"/>
      <c r="D10" s="3"/>
      <c r="E10" s="3"/>
      <c r="F10" s="3"/>
      <c r="G10" s="3"/>
      <c r="H10" s="3"/>
      <c r="I10" s="5">
        <v>2099</v>
      </c>
      <c r="J10" s="5">
        <v>2059</v>
      </c>
      <c r="K10" s="5">
        <v>2147</v>
      </c>
    </row>
    <row r="11" spans="2:11" x14ac:dyDescent="0.25">
      <c r="B11" s="10" t="s">
        <v>56</v>
      </c>
      <c r="C11" s="3"/>
      <c r="D11" s="3"/>
      <c r="E11" s="3"/>
      <c r="F11" s="3"/>
      <c r="G11" s="3"/>
      <c r="H11" s="3"/>
      <c r="I11" s="5">
        <v>207</v>
      </c>
      <c r="J11" s="5">
        <v>-84</v>
      </c>
      <c r="K11" s="5">
        <v>438</v>
      </c>
    </row>
    <row r="12" spans="2:11" x14ac:dyDescent="0.25">
      <c r="B12" s="11" t="s">
        <v>42</v>
      </c>
      <c r="C12" s="3"/>
      <c r="D12" s="3"/>
      <c r="E12" s="3"/>
      <c r="F12" s="3"/>
      <c r="G12" s="3"/>
      <c r="H12" s="3"/>
      <c r="I12" s="6">
        <f>SUM(I5:I11)</f>
        <v>23681</v>
      </c>
      <c r="J12" s="6">
        <f>SUM(J5:J11)</f>
        <v>24743</v>
      </c>
      <c r="K12" s="4">
        <f>SUM(K5:K11)</f>
        <v>26472</v>
      </c>
    </row>
    <row r="13" spans="2:11" x14ac:dyDescent="0.25">
      <c r="B13" s="11" t="s">
        <v>46</v>
      </c>
      <c r="C13" s="3"/>
      <c r="D13" s="3"/>
      <c r="E13" s="3"/>
      <c r="F13" s="3"/>
      <c r="G13" s="3"/>
      <c r="H13" s="3"/>
      <c r="I13" s="6">
        <f>I4-I12</f>
        <v>3837</v>
      </c>
      <c r="J13" s="6">
        <f>J4-J12</f>
        <v>5028</v>
      </c>
      <c r="K13" s="6">
        <f>K4-K12</f>
        <v>5325</v>
      </c>
    </row>
    <row r="14" spans="2:11" x14ac:dyDescent="0.25">
      <c r="B14" s="10" t="s">
        <v>48</v>
      </c>
      <c r="C14" s="3"/>
      <c r="D14" s="3"/>
      <c r="E14" s="3"/>
      <c r="F14" s="3"/>
      <c r="G14" s="3"/>
      <c r="H14" s="3"/>
      <c r="I14" s="5">
        <v>-471</v>
      </c>
      <c r="J14" s="5">
        <v>383</v>
      </c>
      <c r="K14" s="5">
        <v>4</v>
      </c>
    </row>
    <row r="15" spans="2:11" x14ac:dyDescent="0.25">
      <c r="B15" s="11" t="s">
        <v>47</v>
      </c>
      <c r="C15" s="3"/>
      <c r="D15" s="3"/>
      <c r="E15" s="3"/>
      <c r="F15" s="3"/>
      <c r="G15" s="3"/>
      <c r="H15" s="3"/>
      <c r="I15" s="6">
        <f>I13+I14</f>
        <v>3366</v>
      </c>
      <c r="J15" s="6">
        <f>J13+J14</f>
        <v>5411</v>
      </c>
      <c r="K15" s="6">
        <f>K13+K14</f>
        <v>5329</v>
      </c>
    </row>
    <row r="16" spans="2:11" x14ac:dyDescent="0.25">
      <c r="B16" s="10" t="s">
        <v>49</v>
      </c>
      <c r="C16" s="3"/>
      <c r="D16" s="3"/>
      <c r="E16" s="3"/>
      <c r="F16" s="3"/>
      <c r="G16" s="3"/>
      <c r="H16" s="3"/>
      <c r="I16" s="5">
        <v>947</v>
      </c>
      <c r="J16" s="5">
        <v>1165</v>
      </c>
      <c r="K16" s="5">
        <v>1182</v>
      </c>
    </row>
    <row r="17" spans="2:11" x14ac:dyDescent="0.25">
      <c r="B17" s="12" t="s">
        <v>50</v>
      </c>
      <c r="C17" s="7"/>
      <c r="D17" s="7"/>
      <c r="E17" s="7"/>
      <c r="F17" s="7"/>
      <c r="G17" s="7"/>
      <c r="H17" s="7"/>
      <c r="I17" s="8">
        <f>I15-I16</f>
        <v>2419</v>
      </c>
      <c r="J17" s="8">
        <f>J15-J16</f>
        <v>4246</v>
      </c>
      <c r="K17" s="8">
        <f>K15-K16</f>
        <v>4147</v>
      </c>
    </row>
    <row r="18" spans="2:11" x14ac:dyDescent="0.25">
      <c r="B18" s="10"/>
      <c r="C18" s="3"/>
      <c r="D18" s="3"/>
      <c r="E18" s="3"/>
      <c r="F18" s="3"/>
      <c r="G18" s="3"/>
      <c r="H18" s="3"/>
      <c r="I18" s="3"/>
      <c r="J18" s="3"/>
      <c r="K18" s="3"/>
    </row>
    <row r="19" spans="2:11" x14ac:dyDescent="0.25">
      <c r="B19" s="10" t="s">
        <v>64</v>
      </c>
      <c r="C19" s="3"/>
      <c r="D19" s="3"/>
      <c r="E19" s="3"/>
      <c r="F19" s="3"/>
      <c r="G19" s="3"/>
      <c r="H19" s="3"/>
      <c r="I19" s="3"/>
      <c r="J19" s="3"/>
      <c r="K19" s="3"/>
    </row>
    <row r="20" spans="2:11" x14ac:dyDescent="0.25">
      <c r="B20" s="10" t="s">
        <v>65</v>
      </c>
      <c r="C20" s="3"/>
      <c r="D20" s="3"/>
      <c r="E20" s="3"/>
      <c r="F20" s="3"/>
      <c r="G20" s="3"/>
      <c r="H20" s="3"/>
      <c r="I20" s="3"/>
      <c r="J20" s="3"/>
      <c r="K20" s="3"/>
    </row>
    <row r="21" spans="2:11" x14ac:dyDescent="0.25">
      <c r="B21" s="10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5">
      <c r="B22" s="10" t="s">
        <v>57</v>
      </c>
      <c r="C22" s="3"/>
      <c r="D22" s="3"/>
      <c r="E22" s="3"/>
      <c r="F22" s="3"/>
      <c r="G22" s="3"/>
      <c r="H22" s="3"/>
      <c r="I22" s="3"/>
      <c r="J22" s="3"/>
      <c r="K22" s="3"/>
    </row>
    <row r="23" spans="2:11" x14ac:dyDescent="0.25">
      <c r="B23" s="10" t="s">
        <v>58</v>
      </c>
      <c r="C23" s="3"/>
      <c r="D23" s="3"/>
      <c r="E23" s="3"/>
      <c r="F23" s="3"/>
      <c r="G23" s="3"/>
      <c r="H23" s="3"/>
      <c r="I23" s="9"/>
      <c r="J23" s="9">
        <f>(J4-I4)/I4</f>
        <v>8.1873682680427357E-2</v>
      </c>
      <c r="K23" s="9">
        <f>(K4-J4)/J4</f>
        <v>6.8052803063383835E-2</v>
      </c>
    </row>
    <row r="24" spans="2:11" x14ac:dyDescent="0.25">
      <c r="B24" s="10" t="s">
        <v>59</v>
      </c>
      <c r="C24" s="3"/>
      <c r="D24" s="3"/>
      <c r="E24" s="3"/>
      <c r="F24" s="3"/>
      <c r="G24" s="3"/>
      <c r="H24" s="3"/>
      <c r="I24" s="3"/>
      <c r="J24" s="9">
        <f>(J10-I10)/I10</f>
        <v>-1.9056693663649357E-2</v>
      </c>
      <c r="K24" s="9">
        <f>(K10-J10)/J10</f>
        <v>4.2739193783389993E-2</v>
      </c>
    </row>
    <row r="25" spans="2:11" x14ac:dyDescent="0.25">
      <c r="B25" s="10" t="s">
        <v>60</v>
      </c>
      <c r="C25" s="3"/>
      <c r="D25" s="3"/>
      <c r="E25" s="3"/>
      <c r="F25" s="3"/>
      <c r="G25" s="3"/>
      <c r="H25" s="3"/>
      <c r="I25" s="3"/>
      <c r="J25" s="9">
        <f>(J8-I8)/I8</f>
        <v>-0.19849357554275587</v>
      </c>
      <c r="K25" s="9">
        <f>(K8-J8)/J8</f>
        <v>0.10613598673300166</v>
      </c>
    </row>
    <row r="26" spans="2:11" x14ac:dyDescent="0.25">
      <c r="B26" s="10" t="s">
        <v>61</v>
      </c>
      <c r="C26" s="3"/>
      <c r="D26" s="3"/>
      <c r="E26" s="3"/>
      <c r="F26" s="3"/>
      <c r="G26" s="3"/>
      <c r="H26" s="3"/>
      <c r="I26" s="3"/>
      <c r="J26" s="9">
        <f>(J9-I9)/I9</f>
        <v>-8.6074392868121727E-2</v>
      </c>
      <c r="K26" s="9">
        <f>(K9-J9)/J9</f>
        <v>2.0181634712411706E-3</v>
      </c>
    </row>
    <row r="27" spans="2:11" x14ac:dyDescent="0.25">
      <c r="B27" s="10"/>
      <c r="C27" s="3"/>
      <c r="D27" s="3"/>
      <c r="E27" s="3"/>
      <c r="F27" s="3"/>
      <c r="G27" s="3"/>
      <c r="H27" s="3"/>
      <c r="I27" s="3"/>
      <c r="J27" s="3"/>
      <c r="K27" s="3"/>
    </row>
    <row r="28" spans="2:11" x14ac:dyDescent="0.25">
      <c r="B28" s="10" t="s">
        <v>62</v>
      </c>
      <c r="C28" s="3"/>
      <c r="D28" s="3"/>
      <c r="E28" s="3"/>
      <c r="F28" s="3"/>
      <c r="G28" s="3"/>
      <c r="H28" s="3"/>
      <c r="I28" s="9">
        <f>I17/I4</f>
        <v>8.7906097826876958E-2</v>
      </c>
      <c r="J28" s="9">
        <f>J17/J4</f>
        <v>0.14262201471230393</v>
      </c>
      <c r="K28" s="9">
        <f>K17/K4</f>
        <v>0.13042110890964556</v>
      </c>
    </row>
    <row r="29" spans="2:11" x14ac:dyDescent="0.25">
      <c r="B29" s="10" t="s">
        <v>63</v>
      </c>
      <c r="C29" s="3"/>
      <c r="D29" s="3"/>
      <c r="E29" s="3"/>
      <c r="F29" s="3"/>
      <c r="G29" s="3"/>
      <c r="H29" s="3"/>
      <c r="I29" s="9">
        <f>I13/I4</f>
        <v>0.13943600552365723</v>
      </c>
      <c r="J29" s="9">
        <f>J13/J4</f>
        <v>0.16888918746431092</v>
      </c>
      <c r="K29" s="9">
        <f>K13/K4</f>
        <v>0.16746862911595434</v>
      </c>
    </row>
    <row r="30" spans="2:11" x14ac:dyDescent="0.25">
      <c r="B30" s="10" t="s">
        <v>67</v>
      </c>
      <c r="I30" s="2">
        <f t="shared" ref="I30:J30" si="0">I5/I4</f>
        <v>0.4423649974562105</v>
      </c>
      <c r="J30" s="2">
        <f t="shared" si="0"/>
        <v>0.48318833764401597</v>
      </c>
      <c r="K30" s="2">
        <f>K5/K4</f>
        <v>0.49366292417523666</v>
      </c>
    </row>
  </sheetData>
  <dataConsolidate>
    <dataRefs count="1">
      <dataRef name="COGS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Book1</vt:lpstr>
      <vt:lpstr>Tech Finance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</dc:creator>
  <cp:lastModifiedBy>Johann Somosa</cp:lastModifiedBy>
  <dcterms:created xsi:type="dcterms:W3CDTF">2025-11-12T22:16:56Z</dcterms:created>
  <dcterms:modified xsi:type="dcterms:W3CDTF">2025-11-12T22:17:25Z</dcterms:modified>
</cp:coreProperties>
</file>